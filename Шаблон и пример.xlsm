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51600" windowHeight="17430" tabRatio="754" activeTab="3"/>
  </bookViews>
  <sheets>
    <sheet name="Пургина Д.Д." sheetId="87" r:id="rId1"/>
    <sheet name="Панов И.С." sheetId="202" r:id="rId2"/>
    <sheet name="Хайдаров Р.Р." sheetId="203" r:id="rId3"/>
    <sheet name="Краев Р.А." sheetId="204" r:id="rId4"/>
    <sheet name="Шаблон" sheetId="201" r:id="rId5"/>
  </sheets>
  <definedNames>
    <definedName name="Потапова_А.А.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5" i="204" l="1"/>
  <c r="Z45" i="204"/>
  <c r="Y45" i="204"/>
  <c r="X45" i="204"/>
  <c r="W45" i="204"/>
  <c r="V45" i="204"/>
  <c r="U45" i="204"/>
  <c r="S45" i="204"/>
  <c r="R45" i="204"/>
  <c r="Q45" i="204"/>
  <c r="P45" i="204"/>
  <c r="O45" i="204"/>
  <c r="N45" i="204"/>
  <c r="M45" i="204"/>
  <c r="L45" i="204"/>
  <c r="K45" i="204"/>
  <c r="J45" i="204"/>
  <c r="I45" i="204"/>
  <c r="H45" i="204"/>
  <c r="G45" i="204"/>
  <c r="F45" i="204"/>
  <c r="E45" i="204"/>
  <c r="D45" i="204"/>
  <c r="C45" i="204"/>
  <c r="AB44" i="204"/>
  <c r="AB43" i="204" s="1"/>
  <c r="K44" i="204"/>
  <c r="K43" i="204" s="1"/>
  <c r="C44" i="204"/>
  <c r="C43" i="204"/>
  <c r="AA42" i="204"/>
  <c r="T42" i="204"/>
  <c r="AA41" i="204"/>
  <c r="T41" i="204"/>
  <c r="AA40" i="204"/>
  <c r="T40" i="204"/>
  <c r="AA39" i="204"/>
  <c r="T39" i="204"/>
  <c r="AA38" i="204"/>
  <c r="T38" i="204"/>
  <c r="T37" i="204"/>
  <c r="AA36" i="204"/>
  <c r="T36" i="204"/>
  <c r="AA35" i="204"/>
  <c r="T35" i="204"/>
  <c r="AA34" i="204"/>
  <c r="T34" i="204"/>
  <c r="AA33" i="204"/>
  <c r="T33" i="204"/>
  <c r="T32" i="204"/>
  <c r="AA31" i="204"/>
  <c r="T31" i="204"/>
  <c r="T30" i="204"/>
  <c r="AA29" i="204"/>
  <c r="T29" i="204"/>
  <c r="AA28" i="204"/>
  <c r="T28" i="204"/>
  <c r="T27" i="204"/>
  <c r="AA26" i="204"/>
  <c r="T26" i="204"/>
  <c r="T25" i="204"/>
  <c r="AA24" i="204"/>
  <c r="T24" i="204"/>
  <c r="AA23" i="204"/>
  <c r="T23" i="204"/>
  <c r="T22" i="204"/>
  <c r="AA21" i="204"/>
  <c r="T21" i="204"/>
  <c r="T20" i="204"/>
  <c r="AA19" i="204"/>
  <c r="T19" i="204"/>
  <c r="AA18" i="204"/>
  <c r="T18" i="204"/>
  <c r="AA17" i="204"/>
  <c r="T17" i="204"/>
  <c r="T16" i="204"/>
  <c r="AA15" i="204"/>
  <c r="T15" i="204"/>
  <c r="AA14" i="204"/>
  <c r="T14" i="204"/>
  <c r="AA13" i="204"/>
  <c r="T13" i="204"/>
  <c r="T12" i="204"/>
  <c r="AA11" i="204"/>
  <c r="T11" i="204"/>
  <c r="AA10" i="204"/>
  <c r="T10" i="204"/>
  <c r="AA9" i="204"/>
  <c r="AA45" i="204" s="1"/>
  <c r="T9" i="204"/>
  <c r="T8" i="204"/>
  <c r="T45" i="204" s="1"/>
  <c r="Z27" i="203" l="1"/>
  <c r="Y27" i="203"/>
  <c r="X27" i="203"/>
  <c r="W27" i="203"/>
  <c r="V27" i="203"/>
  <c r="U27" i="203"/>
  <c r="T27" i="203"/>
  <c r="S27" i="203"/>
  <c r="R27" i="203"/>
  <c r="Q27" i="203"/>
  <c r="P27" i="203"/>
  <c r="O27" i="203"/>
  <c r="N27" i="203"/>
  <c r="M27" i="203"/>
  <c r="L27" i="203"/>
  <c r="L26" i="203" s="1"/>
  <c r="K27" i="203"/>
  <c r="K26" i="203" s="1"/>
  <c r="J27" i="203"/>
  <c r="I27" i="203"/>
  <c r="H27" i="203"/>
  <c r="G27" i="203"/>
  <c r="F27" i="203"/>
  <c r="E27" i="203"/>
  <c r="D27" i="203"/>
  <c r="C27" i="203"/>
  <c r="C26" i="203" s="1"/>
  <c r="AA24" i="203"/>
  <c r="AB24" i="203" s="1"/>
  <c r="AA23" i="203"/>
  <c r="AB23" i="203" s="1"/>
  <c r="AA22" i="203"/>
  <c r="AB22" i="203" s="1"/>
  <c r="AA21" i="203"/>
  <c r="AB21" i="203" s="1"/>
  <c r="AA20" i="203"/>
  <c r="AB20" i="203" s="1"/>
  <c r="AA19" i="203"/>
  <c r="AB19" i="203" s="1"/>
  <c r="AA18" i="203"/>
  <c r="AB18" i="203" s="1"/>
  <c r="AA17" i="203"/>
  <c r="AB17" i="203" s="1"/>
  <c r="AA16" i="203"/>
  <c r="T16" i="203"/>
  <c r="AB16" i="203" s="1"/>
  <c r="AB15" i="203"/>
  <c r="AA15" i="203"/>
  <c r="AA14" i="203"/>
  <c r="T14" i="203"/>
  <c r="AB14" i="203" s="1"/>
  <c r="AA13" i="203"/>
  <c r="AB13" i="203" s="1"/>
  <c r="AA12" i="203"/>
  <c r="AB12" i="203" s="1"/>
  <c r="AA11" i="203"/>
  <c r="AB11" i="203" s="1"/>
  <c r="AA10" i="203"/>
  <c r="AB10" i="203" s="1"/>
  <c r="AA9" i="203"/>
  <c r="T9" i="203"/>
  <c r="AB9" i="203" s="1"/>
  <c r="AB8" i="203"/>
  <c r="AA8" i="203"/>
  <c r="Z29" i="202"/>
  <c r="Y29" i="202"/>
  <c r="X29" i="202"/>
  <c r="W29" i="202"/>
  <c r="V29" i="202"/>
  <c r="U29" i="202"/>
  <c r="S29" i="202"/>
  <c r="R29" i="202"/>
  <c r="Q29" i="202"/>
  <c r="P29" i="202"/>
  <c r="O29" i="202"/>
  <c r="N29" i="202"/>
  <c r="M29" i="202"/>
  <c r="L29" i="202"/>
  <c r="K29" i="202"/>
  <c r="K27" i="202" s="1"/>
  <c r="J29" i="202"/>
  <c r="I29" i="202"/>
  <c r="H29" i="202"/>
  <c r="G29" i="202"/>
  <c r="F29" i="202"/>
  <c r="E29" i="202"/>
  <c r="D29" i="202"/>
  <c r="C29" i="202"/>
  <c r="C27" i="202" s="1"/>
  <c r="K28" i="202"/>
  <c r="C28" i="202"/>
  <c r="AA26" i="202"/>
  <c r="AB26" i="202" s="1"/>
  <c r="T26" i="202"/>
  <c r="AA25" i="202"/>
  <c r="T25" i="202"/>
  <c r="AB25" i="202" s="1"/>
  <c r="AA24" i="202"/>
  <c r="T24" i="202"/>
  <c r="AB24" i="202" s="1"/>
  <c r="AB23" i="202"/>
  <c r="AA23" i="202"/>
  <c r="T23" i="202"/>
  <c r="AA22" i="202"/>
  <c r="AB22" i="202" s="1"/>
  <c r="T22" i="202"/>
  <c r="AA21" i="202"/>
  <c r="T21" i="202"/>
  <c r="AB21" i="202" s="1"/>
  <c r="AA20" i="202"/>
  <c r="T20" i="202"/>
  <c r="AB20" i="202" s="1"/>
  <c r="AB19" i="202"/>
  <c r="AA19" i="202"/>
  <c r="T19" i="202"/>
  <c r="AA18" i="202"/>
  <c r="AB18" i="202" s="1"/>
  <c r="T18" i="202"/>
  <c r="AA17" i="202"/>
  <c r="T17" i="202"/>
  <c r="AB17" i="202" s="1"/>
  <c r="AA16" i="202"/>
  <c r="T16" i="202"/>
  <c r="AB16" i="202" s="1"/>
  <c r="AB15" i="202"/>
  <c r="AA15" i="202"/>
  <c r="T15" i="202"/>
  <c r="AA14" i="202"/>
  <c r="AB14" i="202" s="1"/>
  <c r="T14" i="202"/>
  <c r="AA13" i="202"/>
  <c r="T13" i="202"/>
  <c r="AB13" i="202" s="1"/>
  <c r="AA12" i="202"/>
  <c r="T12" i="202"/>
  <c r="AB12" i="202" s="1"/>
  <c r="AB11" i="202"/>
  <c r="AA11" i="202"/>
  <c r="T11" i="202"/>
  <c r="AA10" i="202"/>
  <c r="AB10" i="202" s="1"/>
  <c r="T10" i="202"/>
  <c r="AA9" i="202"/>
  <c r="T9" i="202"/>
  <c r="AB9" i="202" s="1"/>
  <c r="AA8" i="202"/>
  <c r="T8" i="202"/>
  <c r="T29" i="202" s="1"/>
  <c r="AB27" i="203" l="1"/>
  <c r="AB26" i="203" s="1"/>
  <c r="AA27" i="203"/>
  <c r="AB28" i="202"/>
  <c r="AB8" i="202"/>
  <c r="AB29" i="202" s="1"/>
  <c r="AB27" i="202" s="1"/>
  <c r="AA29" i="202"/>
  <c r="Z24" i="201" l="1"/>
  <c r="Y24" i="201"/>
  <c r="X24" i="201"/>
  <c r="W24" i="201"/>
  <c r="V24" i="201"/>
  <c r="U24" i="201"/>
  <c r="S24" i="201"/>
  <c r="R24" i="201"/>
  <c r="Q24" i="201"/>
  <c r="P24" i="201"/>
  <c r="O24" i="201"/>
  <c r="N24" i="201"/>
  <c r="M24" i="201"/>
  <c r="L24" i="201"/>
  <c r="K24" i="201"/>
  <c r="J24" i="201"/>
  <c r="I24" i="201"/>
  <c r="H24" i="201"/>
  <c r="G24" i="201"/>
  <c r="F24" i="201"/>
  <c r="E24" i="201"/>
  <c r="D24" i="201"/>
  <c r="C24" i="201"/>
  <c r="K22" i="201"/>
  <c r="C22" i="201"/>
  <c r="AA24" i="201"/>
  <c r="T24" i="201"/>
  <c r="C23" i="201" l="1"/>
  <c r="K23" i="201"/>
  <c r="AB24" i="201"/>
  <c r="AB22" i="201"/>
  <c r="K24" i="87"/>
  <c r="K22" i="87"/>
  <c r="C23" i="87"/>
  <c r="C22" i="87"/>
  <c r="AB9" i="87"/>
  <c r="AB10" i="87"/>
  <c r="AB11" i="87"/>
  <c r="AB12" i="87"/>
  <c r="AB13" i="87"/>
  <c r="AB14" i="87"/>
  <c r="AB15" i="87"/>
  <c r="AB16" i="87"/>
  <c r="AB18" i="87"/>
  <c r="AB19" i="87"/>
  <c r="AB20" i="87"/>
  <c r="AB21" i="87"/>
  <c r="AB8" i="87"/>
  <c r="AA9" i="87"/>
  <c r="AA10" i="87"/>
  <c r="AA11" i="87"/>
  <c r="AA12" i="87"/>
  <c r="AA13" i="87"/>
  <c r="AA14" i="87"/>
  <c r="AA15" i="87"/>
  <c r="AA16" i="87"/>
  <c r="AA17" i="87"/>
  <c r="AB17" i="87" s="1"/>
  <c r="AA18" i="87"/>
  <c r="AA19" i="87"/>
  <c r="AA20" i="87"/>
  <c r="AA21" i="87"/>
  <c r="AA8" i="87"/>
  <c r="T10" i="87"/>
  <c r="T14" i="87"/>
  <c r="T15" i="87"/>
  <c r="T18" i="87"/>
  <c r="T19" i="87"/>
  <c r="T20" i="87"/>
  <c r="T21" i="87"/>
  <c r="T8" i="87"/>
  <c r="AB23" i="201" l="1"/>
  <c r="AB24" i="87"/>
  <c r="AB22" i="87"/>
  <c r="AB23" i="87" s="1"/>
  <c r="K23" i="87"/>
  <c r="C24" i="87" l="1"/>
  <c r="D24" i="87" l="1"/>
  <c r="E24" i="87"/>
  <c r="F24" i="87"/>
  <c r="G24" i="87"/>
  <c r="H24" i="87"/>
  <c r="I24" i="87"/>
  <c r="J24" i="87"/>
  <c r="L24" i="87"/>
  <c r="M24" i="87"/>
  <c r="N24" i="87"/>
  <c r="O24" i="87"/>
  <c r="P24" i="87"/>
  <c r="Q24" i="87"/>
  <c r="R24" i="87"/>
  <c r="S24" i="87"/>
  <c r="T24" i="87"/>
  <c r="U24" i="87"/>
  <c r="V24" i="87"/>
  <c r="W24" i="87"/>
  <c r="X24" i="87"/>
  <c r="Y24" i="87"/>
  <c r="Z24" i="87"/>
  <c r="AA24" i="87"/>
</calcChain>
</file>

<file path=xl/sharedStrings.xml><?xml version="1.0" encoding="utf-8"?>
<sst xmlns="http://schemas.openxmlformats.org/spreadsheetml/2006/main" count="479" uniqueCount="135">
  <si>
    <t>План и учёт педнагрузки</t>
  </si>
  <si>
    <t>Наименование предметов</t>
  </si>
  <si>
    <t>Курс и группа</t>
  </si>
  <si>
    <t>Всего основных часов в учебном году</t>
  </si>
  <si>
    <t>Из них</t>
  </si>
  <si>
    <t>Дополнительные часы</t>
  </si>
  <si>
    <t>Итого часов за год</t>
  </si>
  <si>
    <t>Распредение основных часов по семестрам</t>
  </si>
  <si>
    <t>Выполнение часов</t>
  </si>
  <si>
    <t>за год</t>
  </si>
  <si>
    <t>аудиторных</t>
  </si>
  <si>
    <t>лабораторные</t>
  </si>
  <si>
    <t>С учетом деления на подгруппы</t>
  </si>
  <si>
    <t>экзамены</t>
  </si>
  <si>
    <t>1 семестр</t>
  </si>
  <si>
    <t>За семестр</t>
  </si>
  <si>
    <t>2 семестр</t>
  </si>
  <si>
    <t>Курсовой проект</t>
  </si>
  <si>
    <t>консультации</t>
  </si>
  <si>
    <t>1 сем.</t>
  </si>
  <si>
    <t>2 сем.</t>
  </si>
  <si>
    <t>месяцы</t>
  </si>
  <si>
    <t>Всего часов</t>
  </si>
  <si>
    <t>Часов в неделю</t>
  </si>
  <si>
    <t>сентябрь</t>
  </si>
  <si>
    <t>октябрь</t>
  </si>
  <si>
    <t>ноябрь</t>
  </si>
  <si>
    <t>декабрь</t>
  </si>
  <si>
    <t>январь</t>
  </si>
  <si>
    <t>февраль</t>
  </si>
  <si>
    <t>март</t>
  </si>
  <si>
    <t>апрель</t>
  </si>
  <si>
    <t>май</t>
  </si>
  <si>
    <t>июнь</t>
  </si>
  <si>
    <t xml:space="preserve">Итого </t>
  </si>
  <si>
    <t>внебюджет</t>
  </si>
  <si>
    <t>бюджет</t>
  </si>
  <si>
    <t>ВСЕГО</t>
  </si>
  <si>
    <t>Тарифная ставка _______________</t>
  </si>
  <si>
    <t>За проверку тетрадей _______________</t>
  </si>
  <si>
    <t>Не выполнено часов ______________</t>
  </si>
  <si>
    <t>Стоимость часа _________________</t>
  </si>
  <si>
    <t>За классное руководство ____________</t>
  </si>
  <si>
    <t>Дано сверх плана _________________</t>
  </si>
  <si>
    <t>Оклад в месяц __________________</t>
  </si>
  <si>
    <t>За заведование кабинетом ___________</t>
  </si>
  <si>
    <t>Итого зарплата в месяц ____________</t>
  </si>
  <si>
    <t>За руководство ПК _________________</t>
  </si>
  <si>
    <t>Зарплата за год ___________________ в т.ч. за пед.часы</t>
  </si>
  <si>
    <t>Зам. директора по УР ______________</t>
  </si>
  <si>
    <t>Е.В. Кшецкая</t>
  </si>
  <si>
    <t>Зав.учебной частью_____________________О.В. Рыскунова</t>
  </si>
  <si>
    <t>С пед. нагрузкой ознакомлен преподаватель: _____________</t>
  </si>
  <si>
    <t>Информатика</t>
  </si>
  <si>
    <t>Пургина Д.Д.</t>
  </si>
  <si>
    <t>Пр. занятия</t>
  </si>
  <si>
    <t>Лаб. занятия</t>
  </si>
  <si>
    <t>Подготовка выпускной квалификационной работы (НОРМОКОНТРОЛЬ)</t>
  </si>
  <si>
    <t>21/АТ-491в</t>
  </si>
  <si>
    <t>22/АТ-3111в</t>
  </si>
  <si>
    <t>23/КМ-291к</t>
  </si>
  <si>
    <t>23/п ОМД-291</t>
  </si>
  <si>
    <t>23/ТО-291</t>
  </si>
  <si>
    <t>24/ТО-1111</t>
  </si>
  <si>
    <t>23/АТ-291</t>
  </si>
  <si>
    <t>Преподаватель  Пургина Дарья Дмитриевна  в  2024 - 2025 учебном году</t>
  </si>
  <si>
    <t>Информационные технологии в профессиональной деятельности</t>
  </si>
  <si>
    <t>24/АТ-1111</t>
  </si>
  <si>
    <t>23/ЭО-291</t>
  </si>
  <si>
    <t>23/п ЭО-292</t>
  </si>
  <si>
    <t>Информационные технологии</t>
  </si>
  <si>
    <t>22/ИС-391к</t>
  </si>
  <si>
    <t>23/ИП-291к</t>
  </si>
  <si>
    <t>23/ИС-292к</t>
  </si>
  <si>
    <t>22/ИП-391к</t>
  </si>
  <si>
    <t>Стандартизация, сертификация и техническое документирование</t>
  </si>
  <si>
    <t>Преподаватель    в  20 - 20 учебном году</t>
  </si>
  <si>
    <t>Преподаватель  Панов Илья Сергеевич в  2024 - 2025 учебном году</t>
  </si>
  <si>
    <t>Физическая культура</t>
  </si>
  <si>
    <t>24/ИП-191к</t>
  </si>
  <si>
    <t>24/ИС-192к</t>
  </si>
  <si>
    <t>23/ИС-291</t>
  </si>
  <si>
    <t>24/Ю-193к</t>
  </si>
  <si>
    <t>23/ПСО-292к</t>
  </si>
  <si>
    <t>23/ПСО-293к</t>
  </si>
  <si>
    <t>22/ПСА-391кв</t>
  </si>
  <si>
    <t>24/РП-191</t>
  </si>
  <si>
    <t>24/ТМ-192</t>
  </si>
  <si>
    <t>24/Б-191к</t>
  </si>
  <si>
    <t>24/п ЭО-192</t>
  </si>
  <si>
    <t>23/МР-291</t>
  </si>
  <si>
    <t>23/С-291в</t>
  </si>
  <si>
    <t>Панов И.С.</t>
  </si>
  <si>
    <t>Преподаватель  Хайдаров Руслан Рамилович  в  2024 - 2025 учебном году</t>
  </si>
  <si>
    <t>Курс. проект</t>
  </si>
  <si>
    <t>Технология разработки управляющих программ для станков с числовым программным управлением</t>
  </si>
  <si>
    <t>24/ОПУ-1111в</t>
  </si>
  <si>
    <t>Технология обработки листового металла на оборудовании с числовым программным управлением</t>
  </si>
  <si>
    <t>квлификационный экзамен</t>
  </si>
  <si>
    <t>Программирование для автоматизированного оборудования</t>
  </si>
  <si>
    <t>22/РМ-391</t>
  </si>
  <si>
    <t>23/ТМ-291</t>
  </si>
  <si>
    <t>23/ТМ-292</t>
  </si>
  <si>
    <t>Технология обработки листового металла на оборудовании с ЧПУ</t>
  </si>
  <si>
    <t>23/МС-291в</t>
  </si>
  <si>
    <t>квалификационный экзамен</t>
  </si>
  <si>
    <t>22/МС-391в</t>
  </si>
  <si>
    <t>Технология ремонта и технического обслуживания узлов и механизмов оборудования, агрегатов и машин</t>
  </si>
  <si>
    <t>Учебная практика (предприятие)</t>
  </si>
  <si>
    <t>Производственная практика</t>
  </si>
  <si>
    <t>22/С-391в</t>
  </si>
  <si>
    <t>Хайдаров Р.Р.</t>
  </si>
  <si>
    <t>Преподаватель  Краев Родион Александрович  в  2024 - 2025 учебном году</t>
  </si>
  <si>
    <t>Основы экологического права</t>
  </si>
  <si>
    <t>23/ПСО-291</t>
  </si>
  <si>
    <t>Трудовое право</t>
  </si>
  <si>
    <t>Административный процесс</t>
  </si>
  <si>
    <t>Муниципальное право</t>
  </si>
  <si>
    <t>Страховое дело</t>
  </si>
  <si>
    <t>22/ПСО-391кв</t>
  </si>
  <si>
    <t>Жилищное право</t>
  </si>
  <si>
    <t>Нотариат</t>
  </si>
  <si>
    <t>Страховое право</t>
  </si>
  <si>
    <t>22/ПСО-392кв</t>
  </si>
  <si>
    <t>Подготовка выпускной квалификационной работы</t>
  </si>
  <si>
    <t>Судебная статистика</t>
  </si>
  <si>
    <t>23/ПСА-291к</t>
  </si>
  <si>
    <t>Организация службы судебной статистики в судах</t>
  </si>
  <si>
    <t>Правовые основы организации деятельности судебных приставов</t>
  </si>
  <si>
    <t>Судебное делопроизводство</t>
  </si>
  <si>
    <t>Обеспечение рассмотрения судьей уголовных, гражданских дел и дел об административных правонарушениях</t>
  </si>
  <si>
    <t>Исполнительное производство</t>
  </si>
  <si>
    <t>Исполнительное производство (ПРИЕМ КУРСОВОГО ПРЕКТА)</t>
  </si>
  <si>
    <t>23/ПСА-2111кв</t>
  </si>
  <si>
    <t>Краев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</si>
</sst>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b/>
      <sz val="10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0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8"/>
      <name val="Tahoma"/>
      <family val="2"/>
      <charset val="204"/>
    </font>
    <font>
      <b/>
      <sz val="11"/>
      <color rgb="FF0070C0"/>
      <name val="Times New Roman"/>
      <family val="1"/>
      <charset val="204"/>
    </font>
    <font>
      <sz val="8"/>
      <name val="HYWenHei 85W"/>
    </font>
    <font>
      <sz val="11"/>
      <color rgb="FF0070C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name val="Tahoma"/>
      <family val="2"/>
      <charset val="204"/>
    </font>
    <font>
      <sz val="9"/>
      <color rgb="FF0070C0"/>
      <name val="Times New Roman"/>
      <family val="1"/>
      <charset val="204"/>
    </font>
    <font>
      <sz val="10"/>
      <color rgb="FF0070C0"/>
      <name val="Times New Roman"/>
      <family val="1"/>
      <charset val="204"/>
    </font>
    <font>
      <b/>
      <sz val="9"/>
      <color rgb="FF0070C0"/>
      <name val="Times New Roman"/>
      <family val="1"/>
      <charset val="204"/>
    </font>
    <font>
      <sz val="8"/>
      <color theme="1"/>
      <name val="Tahoma"/>
      <family val="2"/>
      <charset val="204"/>
    </font>
    <font>
      <sz val="11"/>
      <color indexed="8"/>
      <name val="Times New Roman"/>
      <family val="1"/>
      <charset val="204"/>
    </font>
    <font>
      <sz val="10"/>
      <color theme="4" tint="-0.499984740745262"/>
      <name val="Times New Roman"/>
      <family val="1"/>
      <charset val="204"/>
    </font>
    <font>
      <b/>
      <sz val="8"/>
      <color rgb="FF1E4E79"/>
      <name val="Tahoma"/>
      <family val="2"/>
      <charset val="204"/>
    </font>
    <font>
      <b/>
      <sz val="10"/>
      <color rgb="FF0070C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C0C0C0"/>
      </patternFill>
    </fill>
    <fill>
      <patternFill patternType="solid">
        <fgColor theme="0"/>
        <bgColor rgb="FFADB9CA"/>
      </patternFill>
    </fill>
    <fill>
      <patternFill patternType="solid">
        <fgColor theme="0"/>
        <bgColor rgb="FFF4CCCC"/>
      </patternFill>
    </fill>
    <fill>
      <patternFill patternType="solid">
        <fgColor rgb="FFC0C0C0"/>
        <bgColor rgb="FFC0C0C0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">
    <xf numFmtId="0" fontId="0" fillId="0" borderId="0"/>
    <xf numFmtId="0" fontId="9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15" fillId="0" borderId="0"/>
    <xf numFmtId="0" fontId="18" fillId="0" borderId="0"/>
    <xf numFmtId="0" fontId="15" fillId="0" borderId="0"/>
  </cellStyleXfs>
  <cellXfs count="134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8" fillId="2" borderId="2" xfId="1" applyFont="1" applyFill="1" applyBorder="1" applyAlignment="1">
      <alignment horizontal="right"/>
    </xf>
    <xf numFmtId="0" fontId="8" fillId="2" borderId="2" xfId="0" applyFont="1" applyFill="1" applyBorder="1" applyAlignment="1">
      <alignment horizontal="right"/>
    </xf>
    <xf numFmtId="0" fontId="11" fillId="0" borderId="2" xfId="0" applyFont="1" applyFill="1" applyBorder="1" applyAlignment="1">
      <alignment horizontal="center"/>
    </xf>
    <xf numFmtId="0" fontId="4" fillId="0" borderId="0" xfId="0" applyFont="1"/>
    <xf numFmtId="1" fontId="14" fillId="0" borderId="0" xfId="0" applyNumberFormat="1" applyFont="1"/>
    <xf numFmtId="1" fontId="14" fillId="0" borderId="2" xfId="0" applyNumberFormat="1" applyFont="1" applyFill="1" applyBorder="1" applyAlignment="1">
      <alignment vertical="top"/>
    </xf>
    <xf numFmtId="0" fontId="13" fillId="0" borderId="2" xfId="0" applyFont="1" applyFill="1" applyBorder="1" applyAlignment="1">
      <alignment horizontal="center" vertical="center" wrapText="1"/>
    </xf>
    <xf numFmtId="1" fontId="10" fillId="0" borderId="2" xfId="0" applyNumberFormat="1" applyFont="1" applyFill="1" applyBorder="1" applyAlignment="1">
      <alignment horizontal="center" vertical="center" wrapText="1"/>
    </xf>
    <xf numFmtId="1" fontId="12" fillId="2" borderId="2" xfId="0" applyNumberFormat="1" applyFont="1" applyFill="1" applyBorder="1" applyAlignment="1">
      <alignment horizontal="center" vertical="center" wrapText="1"/>
    </xf>
    <xf numFmtId="1" fontId="12" fillId="2" borderId="2" xfId="0" applyNumberFormat="1" applyFont="1" applyFill="1" applyBorder="1" applyAlignment="1">
      <alignment horizontal="left" vertical="center" wrapText="1"/>
    </xf>
    <xf numFmtId="0" fontId="19" fillId="3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textRotation="90" wrapText="1"/>
    </xf>
    <xf numFmtId="1" fontId="20" fillId="0" borderId="2" xfId="0" applyNumberFormat="1" applyFont="1" applyFill="1" applyBorder="1" applyAlignment="1">
      <alignment vertical="top"/>
    </xf>
    <xf numFmtId="1" fontId="17" fillId="0" borderId="2" xfId="0" applyNumberFormat="1" applyFont="1" applyFill="1" applyBorder="1" applyAlignment="1">
      <alignment horizontal="center" vertical="top"/>
    </xf>
    <xf numFmtId="0" fontId="14" fillId="0" borderId="2" xfId="0" applyFont="1" applyFill="1" applyBorder="1" applyAlignment="1"/>
    <xf numFmtId="0" fontId="14" fillId="0" borderId="5" xfId="0" applyFont="1" applyFill="1" applyBorder="1" applyAlignment="1">
      <alignment vertical="top"/>
    </xf>
    <xf numFmtId="1" fontId="13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8" fillId="2" borderId="2" xfId="1" applyFont="1" applyFill="1" applyBorder="1" applyAlignment="1">
      <alignment horizontal="center" vertical="center"/>
    </xf>
    <xf numFmtId="164" fontId="19" fillId="2" borderId="2" xfId="0" applyNumberFormat="1" applyFont="1" applyFill="1" applyBorder="1" applyAlignment="1">
      <alignment horizontal="center" vertical="center"/>
    </xf>
    <xf numFmtId="1" fontId="19" fillId="2" borderId="2" xfId="0" applyNumberFormat="1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left" vertical="center" wrapText="1"/>
    </xf>
    <xf numFmtId="0" fontId="19" fillId="2" borderId="2" xfId="0" applyFont="1" applyFill="1" applyBorder="1" applyAlignment="1"/>
    <xf numFmtId="0" fontId="19" fillId="2" borderId="2" xfId="0" applyFont="1" applyFill="1" applyBorder="1"/>
    <xf numFmtId="0" fontId="12" fillId="2" borderId="2" xfId="0" applyFont="1" applyFill="1" applyBorder="1" applyAlignment="1">
      <alignment horizontal="left" vertical="center" wrapText="1"/>
    </xf>
    <xf numFmtId="0" fontId="8" fillId="2" borderId="2" xfId="1" applyFont="1" applyFill="1" applyBorder="1" applyAlignment="1">
      <alignment horizontal="right" wrapText="1"/>
    </xf>
    <xf numFmtId="0" fontId="8" fillId="2" borderId="2" xfId="1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1" fontId="13" fillId="0" borderId="2" xfId="0" applyNumberFormat="1" applyFont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7" fillId="0" borderId="2" xfId="0" applyFont="1" applyFill="1" applyBorder="1" applyAlignment="1">
      <alignment horizontal="center" vertical="center" textRotation="90" wrapText="1"/>
    </xf>
    <xf numFmtId="0" fontId="13" fillId="0" borderId="2" xfId="0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6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textRotation="90" wrapText="1"/>
    </xf>
    <xf numFmtId="1" fontId="13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textRotation="90" wrapText="1"/>
    </xf>
    <xf numFmtId="0" fontId="7" fillId="0" borderId="2" xfId="0" applyFont="1" applyBorder="1" applyAlignment="1">
      <alignment horizontal="center" vertical="center" textRotation="90" wrapText="1"/>
    </xf>
    <xf numFmtId="0" fontId="8" fillId="2" borderId="2" xfId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 wrapText="1"/>
    </xf>
    <xf numFmtId="1" fontId="12" fillId="2" borderId="2" xfId="0" applyNumberFormat="1" applyFont="1" applyFill="1" applyBorder="1" applyAlignment="1">
      <alignment horizontal="center" wrapText="1"/>
    </xf>
    <xf numFmtId="0" fontId="19" fillId="2" borderId="2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 vertical="center" wrapText="1"/>
    </xf>
    <xf numFmtId="0" fontId="19" fillId="5" borderId="2" xfId="0" applyFont="1" applyFill="1" applyBorder="1" applyAlignment="1"/>
    <xf numFmtId="0" fontId="22" fillId="0" borderId="5" xfId="0" applyFont="1" applyFill="1" applyBorder="1" applyAlignment="1">
      <alignment vertical="top"/>
    </xf>
    <xf numFmtId="1" fontId="5" fillId="0" borderId="2" xfId="0" applyNumberFormat="1" applyFont="1" applyFill="1" applyBorder="1" applyAlignment="1">
      <alignment vertical="top"/>
    </xf>
    <xf numFmtId="1" fontId="23" fillId="0" borderId="2" xfId="0" applyNumberFormat="1" applyFont="1" applyFill="1" applyBorder="1" applyAlignment="1">
      <alignment horizontal="center" vertical="top"/>
    </xf>
    <xf numFmtId="0" fontId="5" fillId="0" borderId="2" xfId="0" applyFont="1" applyFill="1" applyBorder="1" applyAlignment="1"/>
    <xf numFmtId="1" fontId="8" fillId="0" borderId="2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5" fillId="0" borderId="5" xfId="0" applyFont="1" applyFill="1" applyBorder="1" applyAlignment="1">
      <alignment vertical="top"/>
    </xf>
    <xf numFmtId="0" fontId="7" fillId="0" borderId="3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textRotation="90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textRotation="90" wrapText="1"/>
    </xf>
    <xf numFmtId="0" fontId="7" fillId="0" borderId="1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textRotation="90" wrapText="1"/>
    </xf>
    <xf numFmtId="0" fontId="24" fillId="2" borderId="2" xfId="0" applyFont="1" applyFill="1" applyBorder="1" applyAlignment="1">
      <alignment horizontal="left" vertical="center" wrapText="1"/>
    </xf>
    <xf numFmtId="0" fontId="24" fillId="2" borderId="2" xfId="0" applyFont="1" applyFill="1" applyBorder="1" applyAlignment="1">
      <alignment horizontal="center" vertical="center" wrapText="1"/>
    </xf>
    <xf numFmtId="0" fontId="24" fillId="2" borderId="2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 textRotation="90" wrapText="1"/>
    </xf>
    <xf numFmtId="0" fontId="24" fillId="3" borderId="2" xfId="0" applyFont="1" applyFill="1" applyBorder="1" applyAlignment="1">
      <alignment horizontal="center" vertical="center"/>
    </xf>
    <xf numFmtId="0" fontId="24" fillId="2" borderId="2" xfId="0" applyFont="1" applyFill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right"/>
    </xf>
    <xf numFmtId="0" fontId="24" fillId="2" borderId="2" xfId="1" applyFont="1" applyFill="1" applyBorder="1" applyAlignment="1">
      <alignment horizontal="right"/>
    </xf>
    <xf numFmtId="1" fontId="24" fillId="2" borderId="2" xfId="0" applyNumberFormat="1" applyFont="1" applyFill="1" applyBorder="1" applyAlignment="1">
      <alignment horizontal="center" vertical="center" wrapText="1"/>
    </xf>
    <xf numFmtId="1" fontId="24" fillId="2" borderId="2" xfId="0" applyNumberFormat="1" applyFont="1" applyFill="1" applyBorder="1" applyAlignment="1">
      <alignment horizontal="left" vertical="center" wrapText="1"/>
    </xf>
    <xf numFmtId="0" fontId="20" fillId="0" borderId="5" xfId="0" applyFont="1" applyFill="1" applyBorder="1" applyAlignment="1">
      <alignment vertical="top"/>
    </xf>
    <xf numFmtId="0" fontId="25" fillId="0" borderId="2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/>
    <xf numFmtId="1" fontId="26" fillId="0" borderId="2" xfId="0" applyNumberFormat="1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2" fontId="14" fillId="0" borderId="2" xfId="0" applyNumberFormat="1" applyFont="1" applyFill="1" applyBorder="1" applyAlignment="1">
      <alignment vertical="top"/>
    </xf>
    <xf numFmtId="2" fontId="13" fillId="0" borderId="3" xfId="0" applyNumberFormat="1" applyFont="1" applyBorder="1" applyAlignment="1">
      <alignment horizontal="center" vertical="center" wrapText="1"/>
    </xf>
    <xf numFmtId="1" fontId="13" fillId="0" borderId="3" xfId="0" applyNumberFormat="1" applyFont="1" applyBorder="1" applyAlignment="1">
      <alignment horizontal="center" vertical="center" wrapText="1"/>
    </xf>
    <xf numFmtId="2" fontId="13" fillId="0" borderId="4" xfId="0" applyNumberFormat="1" applyFont="1" applyBorder="1" applyAlignment="1">
      <alignment horizontal="center" vertical="center" wrapText="1"/>
    </xf>
    <xf numFmtId="1" fontId="13" fillId="0" borderId="4" xfId="0" applyNumberFormat="1" applyFont="1" applyBorder="1" applyAlignment="1">
      <alignment horizontal="center" vertical="center" wrapText="1"/>
    </xf>
    <xf numFmtId="0" fontId="28" fillId="0" borderId="14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left"/>
    </xf>
    <xf numFmtId="1" fontId="8" fillId="0" borderId="2" xfId="8" applyNumberFormat="1" applyFont="1" applyFill="1" applyBorder="1" applyAlignment="1">
      <alignment horizontal="right"/>
    </xf>
    <xf numFmtId="0" fontId="8" fillId="0" borderId="2" xfId="1" applyFont="1" applyFill="1" applyBorder="1" applyAlignment="1">
      <alignment horizontal="right"/>
    </xf>
    <xf numFmtId="0" fontId="8" fillId="0" borderId="2" xfId="0" applyFont="1" applyFill="1" applyBorder="1" applyAlignment="1">
      <alignment horizontal="right"/>
    </xf>
    <xf numFmtId="0" fontId="7" fillId="0" borderId="2" xfId="0" applyFont="1" applyFill="1" applyBorder="1" applyAlignment="1">
      <alignment horizontal="right" vertical="center" wrapText="1"/>
    </xf>
    <xf numFmtId="0" fontId="8" fillId="0" borderId="2" xfId="8" applyNumberFormat="1" applyFont="1" applyFill="1" applyBorder="1" applyAlignment="1">
      <alignment horizontal="right"/>
    </xf>
    <xf numFmtId="0" fontId="28" fillId="6" borderId="17" xfId="0" applyFont="1" applyFill="1" applyBorder="1" applyAlignment="1">
      <alignment horizontal="center" vertical="center"/>
    </xf>
    <xf numFmtId="1" fontId="7" fillId="0" borderId="2" xfId="0" applyNumberFormat="1" applyFont="1" applyFill="1" applyBorder="1" applyAlignment="1">
      <alignment horizontal="center" vertical="center" wrapText="1"/>
    </xf>
    <xf numFmtId="1" fontId="7" fillId="0" borderId="2" xfId="0" applyNumberFormat="1" applyFont="1" applyFill="1" applyBorder="1" applyAlignment="1">
      <alignment horizontal="left" vertical="center" wrapText="1"/>
    </xf>
    <xf numFmtId="0" fontId="28" fillId="0" borderId="18" xfId="0" applyFont="1" applyBorder="1" applyAlignment="1"/>
    <xf numFmtId="0" fontId="28" fillId="0" borderId="17" xfId="0" applyFont="1" applyBorder="1" applyAlignment="1"/>
    <xf numFmtId="0" fontId="28" fillId="0" borderId="19" xfId="0" applyFont="1" applyBorder="1" applyAlignment="1"/>
    <xf numFmtId="1" fontId="29" fillId="0" borderId="2" xfId="0" applyNumberFormat="1" applyFont="1" applyFill="1" applyBorder="1" applyAlignment="1">
      <alignment horizontal="left" vertical="top"/>
    </xf>
    <xf numFmtId="0" fontId="28" fillId="0" borderId="20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 wrapText="1"/>
    </xf>
    <xf numFmtId="0" fontId="28" fillId="0" borderId="18" xfId="0" applyFont="1" applyBorder="1"/>
    <xf numFmtId="0" fontId="28" fillId="0" borderId="17" xfId="0" applyFont="1" applyBorder="1"/>
    <xf numFmtId="0" fontId="28" fillId="0" borderId="19" xfId="0" applyFont="1" applyBorder="1"/>
    <xf numFmtId="0" fontId="30" fillId="0" borderId="2" xfId="1" applyFont="1" applyFill="1" applyBorder="1" applyAlignment="1">
      <alignment horizontal="right"/>
    </xf>
    <xf numFmtId="0" fontId="31" fillId="0" borderId="15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left"/>
    </xf>
    <xf numFmtId="1" fontId="31" fillId="0" borderId="16" xfId="0" applyNumberFormat="1" applyFont="1" applyBorder="1" applyAlignment="1">
      <alignment horizontal="left"/>
    </xf>
    <xf numFmtId="164" fontId="31" fillId="0" borderId="16" xfId="0" applyNumberFormat="1" applyFont="1" applyBorder="1" applyAlignment="1">
      <alignment horizontal="left"/>
    </xf>
    <xf numFmtId="0" fontId="27" fillId="0" borderId="2" xfId="0" applyFont="1" applyFill="1" applyBorder="1" applyAlignment="1">
      <alignment horizontal="center" vertical="center" wrapText="1"/>
    </xf>
    <xf numFmtId="1" fontId="32" fillId="0" borderId="2" xfId="0" applyNumberFormat="1" applyFont="1" applyFill="1" applyBorder="1" applyAlignment="1">
      <alignment horizontal="center" vertical="top"/>
    </xf>
    <xf numFmtId="0" fontId="20" fillId="0" borderId="2" xfId="0" applyFont="1" applyFill="1" applyBorder="1" applyAlignment="1"/>
    <xf numFmtId="1" fontId="32" fillId="0" borderId="2" xfId="0" applyNumberFormat="1" applyFont="1" applyFill="1" applyBorder="1" applyAlignment="1">
      <alignment horizontal="center" vertical="center" wrapText="1"/>
    </xf>
  </cellXfs>
  <cellStyles count="9">
    <cellStyle name="Обычный" xfId="0" builtinId="0"/>
    <cellStyle name="Обычный 10" xfId="4"/>
    <cellStyle name="Обычный 11" xfId="5"/>
    <cellStyle name="Обычный 2" xfId="2"/>
    <cellStyle name="Обычный 2 2" xfId="6"/>
    <cellStyle name="Обычный 3" xfId="1"/>
    <cellStyle name="Обычный 4" xfId="7"/>
    <cellStyle name="Обычный 5 2" xfId="3"/>
    <cellStyle name="Обычный_Уч.план 2006-2007" xfId="8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pageSetUpPr fitToPage="1"/>
  </sheetPr>
  <dimension ref="A1:AB31"/>
  <sheetViews>
    <sheetView zoomScaleNormal="100" workbookViewId="0">
      <selection activeCell="B47" sqref="B47"/>
    </sheetView>
  </sheetViews>
  <sheetFormatPr defaultRowHeight="15"/>
  <cols>
    <col min="1" max="1" width="31.42578125" customWidth="1"/>
    <col min="2" max="2" width="14.5703125" customWidth="1"/>
    <col min="3" max="3" width="6.140625" customWidth="1"/>
    <col min="4" max="6" width="5.28515625" customWidth="1"/>
    <col min="7" max="9" width="5.85546875" customWidth="1"/>
    <col min="10" max="10" width="5" customWidth="1"/>
    <col min="11" max="11" width="5.5703125" customWidth="1"/>
    <col min="12" max="15" width="5.42578125" customWidth="1"/>
    <col min="16" max="19" width="6" customWidth="1"/>
    <col min="20" max="20" width="6.140625" customWidth="1"/>
    <col min="21" max="26" width="5.7109375" customWidth="1"/>
    <col min="27" max="27" width="7" customWidth="1"/>
    <col min="28" max="28" width="11.140625" customWidth="1"/>
  </cols>
  <sheetData>
    <row r="1" spans="1:28" ht="18.7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5.75">
      <c r="A3" s="43" t="s">
        <v>65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>
      <c r="A4" s="44" t="s">
        <v>1</v>
      </c>
      <c r="B4" s="45" t="s">
        <v>2</v>
      </c>
      <c r="C4" s="46" t="s">
        <v>3</v>
      </c>
      <c r="D4" s="45" t="s">
        <v>4</v>
      </c>
      <c r="E4" s="45"/>
      <c r="F4" s="45"/>
      <c r="G4" s="45" t="s">
        <v>5</v>
      </c>
      <c r="H4" s="45"/>
      <c r="I4" s="45"/>
      <c r="J4" s="45"/>
      <c r="K4" s="46" t="s">
        <v>6</v>
      </c>
      <c r="L4" s="45" t="s">
        <v>7</v>
      </c>
      <c r="M4" s="45"/>
      <c r="N4" s="45"/>
      <c r="O4" s="45"/>
      <c r="P4" s="45" t="s">
        <v>8</v>
      </c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 t="s">
        <v>9</v>
      </c>
    </row>
    <row r="5" spans="1:28" ht="20.25" customHeight="1">
      <c r="A5" s="44"/>
      <c r="B5" s="45"/>
      <c r="C5" s="46"/>
      <c r="D5" s="46" t="s">
        <v>10</v>
      </c>
      <c r="E5" s="46" t="s">
        <v>55</v>
      </c>
      <c r="F5" s="46" t="s">
        <v>56</v>
      </c>
      <c r="G5" s="45" t="s">
        <v>12</v>
      </c>
      <c r="H5" s="45"/>
      <c r="I5" s="45"/>
      <c r="J5" s="46" t="s">
        <v>13</v>
      </c>
      <c r="K5" s="46"/>
      <c r="L5" s="45"/>
      <c r="M5" s="45"/>
      <c r="N5" s="45"/>
      <c r="O5" s="45"/>
      <c r="P5" s="45" t="s">
        <v>14</v>
      </c>
      <c r="Q5" s="45"/>
      <c r="R5" s="45"/>
      <c r="S5" s="45"/>
      <c r="T5" s="46" t="s">
        <v>15</v>
      </c>
      <c r="U5" s="45" t="s">
        <v>16</v>
      </c>
      <c r="V5" s="45"/>
      <c r="W5" s="45"/>
      <c r="X5" s="45"/>
      <c r="Y5" s="45"/>
      <c r="Z5" s="45"/>
      <c r="AA5" s="46" t="s">
        <v>15</v>
      </c>
      <c r="AB5" s="45"/>
    </row>
    <row r="6" spans="1:28">
      <c r="A6" s="44"/>
      <c r="B6" s="45"/>
      <c r="C6" s="46"/>
      <c r="D6" s="46"/>
      <c r="E6" s="46"/>
      <c r="F6" s="46"/>
      <c r="G6" s="46" t="s">
        <v>11</v>
      </c>
      <c r="H6" s="46" t="s">
        <v>17</v>
      </c>
      <c r="I6" s="46" t="s">
        <v>18</v>
      </c>
      <c r="J6" s="46"/>
      <c r="K6" s="46"/>
      <c r="L6" s="45" t="s">
        <v>19</v>
      </c>
      <c r="M6" s="45"/>
      <c r="N6" s="45" t="s">
        <v>20</v>
      </c>
      <c r="O6" s="45"/>
      <c r="P6" s="45" t="s">
        <v>21</v>
      </c>
      <c r="Q6" s="45"/>
      <c r="R6" s="45"/>
      <c r="S6" s="45"/>
      <c r="T6" s="46"/>
      <c r="U6" s="45" t="s">
        <v>21</v>
      </c>
      <c r="V6" s="45"/>
      <c r="W6" s="45"/>
      <c r="X6" s="45"/>
      <c r="Y6" s="45"/>
      <c r="Z6" s="45"/>
      <c r="AA6" s="46"/>
      <c r="AB6" s="45"/>
    </row>
    <row r="7" spans="1:28" ht="53.25" customHeight="1">
      <c r="A7" s="44"/>
      <c r="B7" s="45"/>
      <c r="C7" s="46"/>
      <c r="D7" s="46"/>
      <c r="E7" s="46"/>
      <c r="F7" s="46"/>
      <c r="G7" s="46"/>
      <c r="H7" s="46"/>
      <c r="I7" s="46"/>
      <c r="J7" s="46"/>
      <c r="K7" s="46"/>
      <c r="L7" s="15" t="s">
        <v>22</v>
      </c>
      <c r="M7" s="15" t="s">
        <v>23</v>
      </c>
      <c r="N7" s="15" t="s">
        <v>22</v>
      </c>
      <c r="O7" s="15" t="s">
        <v>23</v>
      </c>
      <c r="P7" s="15" t="s">
        <v>24</v>
      </c>
      <c r="Q7" s="15" t="s">
        <v>25</v>
      </c>
      <c r="R7" s="15" t="s">
        <v>26</v>
      </c>
      <c r="S7" s="15" t="s">
        <v>27</v>
      </c>
      <c r="T7" s="46"/>
      <c r="U7" s="15" t="s">
        <v>28</v>
      </c>
      <c r="V7" s="15" t="s">
        <v>29</v>
      </c>
      <c r="W7" s="15" t="s">
        <v>30</v>
      </c>
      <c r="X7" s="15" t="s">
        <v>31</v>
      </c>
      <c r="Y7" s="15" t="s">
        <v>32</v>
      </c>
      <c r="Z7" s="15" t="s">
        <v>33</v>
      </c>
      <c r="AA7" s="46"/>
      <c r="AB7" s="45"/>
    </row>
    <row r="8" spans="1:28">
      <c r="A8" s="29" t="s">
        <v>70</v>
      </c>
      <c r="B8" s="27" t="s">
        <v>72</v>
      </c>
      <c r="C8" s="26">
        <v>123</v>
      </c>
      <c r="D8" s="25"/>
      <c r="E8" s="3"/>
      <c r="F8" s="3"/>
      <c r="G8" s="4"/>
      <c r="H8" s="32"/>
      <c r="I8" s="33"/>
      <c r="J8" s="3"/>
      <c r="K8" s="26">
        <v>123</v>
      </c>
      <c r="L8" s="13">
        <v>71</v>
      </c>
      <c r="M8" s="11"/>
      <c r="N8" s="13">
        <v>50</v>
      </c>
      <c r="O8" s="12"/>
      <c r="P8" s="30">
        <v>20</v>
      </c>
      <c r="Q8" s="30">
        <v>22</v>
      </c>
      <c r="R8" s="30">
        <v>22</v>
      </c>
      <c r="S8" s="30">
        <v>14</v>
      </c>
      <c r="T8" s="11">
        <f>SUM(P8:S8)</f>
        <v>78</v>
      </c>
      <c r="U8" s="27">
        <v>8</v>
      </c>
      <c r="V8" s="27">
        <v>12</v>
      </c>
      <c r="W8" s="27">
        <v>10</v>
      </c>
      <c r="X8" s="27">
        <v>8</v>
      </c>
      <c r="Y8" s="27">
        <v>7</v>
      </c>
      <c r="Z8" s="27"/>
      <c r="AA8" s="11">
        <f>SUM(U8:Z8)</f>
        <v>45</v>
      </c>
      <c r="AB8" s="25">
        <f>T8+AA8</f>
        <v>123</v>
      </c>
    </row>
    <row r="9" spans="1:28" ht="21">
      <c r="A9" s="29" t="s">
        <v>75</v>
      </c>
      <c r="B9" s="27" t="s">
        <v>74</v>
      </c>
      <c r="C9" s="26">
        <v>50</v>
      </c>
      <c r="D9" s="25"/>
      <c r="E9" s="3"/>
      <c r="F9" s="3"/>
      <c r="G9" s="4"/>
      <c r="H9" s="32"/>
      <c r="I9" s="33"/>
      <c r="J9" s="3"/>
      <c r="K9" s="26">
        <v>50</v>
      </c>
      <c r="L9" s="13"/>
      <c r="M9" s="11"/>
      <c r="N9" s="13">
        <v>48</v>
      </c>
      <c r="O9" s="12"/>
      <c r="P9" s="31"/>
      <c r="Q9" s="31"/>
      <c r="R9" s="31"/>
      <c r="S9" s="31"/>
      <c r="T9" s="11"/>
      <c r="U9" s="27">
        <v>8</v>
      </c>
      <c r="V9" s="27">
        <v>8</v>
      </c>
      <c r="W9" s="27">
        <v>10</v>
      </c>
      <c r="X9" s="27">
        <v>8</v>
      </c>
      <c r="Y9" s="27">
        <v>12</v>
      </c>
      <c r="Z9" s="27">
        <v>4</v>
      </c>
      <c r="AA9" s="11">
        <f t="shared" ref="AA9:AA21" si="0">SUM(U9:Z9)</f>
        <v>50</v>
      </c>
      <c r="AB9" s="25">
        <f t="shared" ref="AB9:AB21" si="1">T9+AA9</f>
        <v>50</v>
      </c>
    </row>
    <row r="10" spans="1:28">
      <c r="A10" s="29" t="s">
        <v>70</v>
      </c>
      <c r="B10" s="27" t="s">
        <v>73</v>
      </c>
      <c r="C10" s="26">
        <v>123</v>
      </c>
      <c r="D10" s="25"/>
      <c r="E10" s="3"/>
      <c r="F10" s="3"/>
      <c r="G10" s="4"/>
      <c r="H10" s="32"/>
      <c r="I10" s="33"/>
      <c r="J10" s="3"/>
      <c r="K10" s="26">
        <v>123</v>
      </c>
      <c r="L10" s="13">
        <v>71</v>
      </c>
      <c r="M10" s="11"/>
      <c r="N10" s="13">
        <v>50</v>
      </c>
      <c r="O10" s="12"/>
      <c r="P10" s="30">
        <v>24</v>
      </c>
      <c r="Q10" s="30">
        <v>20</v>
      </c>
      <c r="R10" s="30">
        <v>18</v>
      </c>
      <c r="S10" s="30">
        <v>16</v>
      </c>
      <c r="T10" s="11">
        <f t="shared" ref="T10:T21" si="2">SUM(P10:S10)</f>
        <v>78</v>
      </c>
      <c r="U10" s="27">
        <v>6</v>
      </c>
      <c r="V10" s="27">
        <v>12</v>
      </c>
      <c r="W10" s="27">
        <v>6</v>
      </c>
      <c r="X10" s="27">
        <v>12</v>
      </c>
      <c r="Y10" s="27">
        <v>9</v>
      </c>
      <c r="Z10" s="27"/>
      <c r="AA10" s="11">
        <f t="shared" si="0"/>
        <v>45</v>
      </c>
      <c r="AB10" s="25">
        <f t="shared" si="1"/>
        <v>123</v>
      </c>
    </row>
    <row r="11" spans="1:28" ht="21">
      <c r="A11" s="29" t="s">
        <v>75</v>
      </c>
      <c r="B11" s="27" t="s">
        <v>71</v>
      </c>
      <c r="C11" s="26">
        <v>50</v>
      </c>
      <c r="D11" s="25"/>
      <c r="E11" s="3"/>
      <c r="F11" s="3"/>
      <c r="G11" s="4"/>
      <c r="H11" s="32"/>
      <c r="I11" s="33"/>
      <c r="J11" s="3"/>
      <c r="K11" s="26">
        <v>50</v>
      </c>
      <c r="L11" s="13"/>
      <c r="M11" s="11"/>
      <c r="N11" s="13">
        <v>48</v>
      </c>
      <c r="O11" s="12"/>
      <c r="P11" s="31"/>
      <c r="Q11" s="31"/>
      <c r="R11" s="31"/>
      <c r="S11" s="31"/>
      <c r="T11" s="11"/>
      <c r="U11" s="27">
        <v>6</v>
      </c>
      <c r="V11" s="27">
        <v>10</v>
      </c>
      <c r="W11" s="27">
        <v>8</v>
      </c>
      <c r="X11" s="27">
        <v>10</v>
      </c>
      <c r="Y11" s="27">
        <v>10</v>
      </c>
      <c r="Z11" s="27">
        <v>6</v>
      </c>
      <c r="AA11" s="11">
        <f t="shared" si="0"/>
        <v>50</v>
      </c>
      <c r="AB11" s="25">
        <f t="shared" si="1"/>
        <v>50</v>
      </c>
    </row>
    <row r="12" spans="1:28">
      <c r="A12" s="29" t="s">
        <v>53</v>
      </c>
      <c r="B12" s="27" t="s">
        <v>62</v>
      </c>
      <c r="C12" s="26">
        <v>80</v>
      </c>
      <c r="D12" s="25"/>
      <c r="E12" s="3"/>
      <c r="F12" s="3"/>
      <c r="G12" s="4"/>
      <c r="H12" s="32"/>
      <c r="I12" s="33"/>
      <c r="J12" s="3"/>
      <c r="K12" s="26">
        <v>80</v>
      </c>
      <c r="L12" s="13"/>
      <c r="M12" s="11"/>
      <c r="N12" s="13">
        <v>80</v>
      </c>
      <c r="O12" s="12"/>
      <c r="P12" s="31"/>
      <c r="Q12" s="31"/>
      <c r="R12" s="31"/>
      <c r="S12" s="31"/>
      <c r="T12" s="11"/>
      <c r="U12" s="27">
        <v>12</v>
      </c>
      <c r="V12" s="27">
        <v>16</v>
      </c>
      <c r="W12" s="27">
        <v>12</v>
      </c>
      <c r="X12" s="27">
        <v>16</v>
      </c>
      <c r="Y12" s="27">
        <v>18</v>
      </c>
      <c r="Z12" s="27">
        <v>6</v>
      </c>
      <c r="AA12" s="11">
        <f t="shared" si="0"/>
        <v>80</v>
      </c>
      <c r="AB12" s="25">
        <f t="shared" si="1"/>
        <v>80</v>
      </c>
    </row>
    <row r="13" spans="1:28">
      <c r="A13" s="29" t="s">
        <v>53</v>
      </c>
      <c r="B13" s="27" t="s">
        <v>63</v>
      </c>
      <c r="C13" s="26">
        <v>80</v>
      </c>
      <c r="D13" s="25"/>
      <c r="E13" s="3"/>
      <c r="F13" s="3"/>
      <c r="G13" s="4"/>
      <c r="H13" s="32"/>
      <c r="I13" s="33"/>
      <c r="J13" s="3"/>
      <c r="K13" s="26">
        <v>80</v>
      </c>
      <c r="L13" s="13"/>
      <c r="M13" s="11"/>
      <c r="N13" s="13">
        <v>80</v>
      </c>
      <c r="O13" s="12"/>
      <c r="P13" s="31"/>
      <c r="Q13" s="31"/>
      <c r="R13" s="31"/>
      <c r="S13" s="31"/>
      <c r="T13" s="11"/>
      <c r="U13" s="27">
        <v>12</v>
      </c>
      <c r="V13" s="27">
        <v>16</v>
      </c>
      <c r="W13" s="27">
        <v>14</v>
      </c>
      <c r="X13" s="27">
        <v>12</v>
      </c>
      <c r="Y13" s="27">
        <v>20</v>
      </c>
      <c r="Z13" s="27">
        <v>6</v>
      </c>
      <c r="AA13" s="11">
        <f t="shared" si="0"/>
        <v>80</v>
      </c>
      <c r="AB13" s="25">
        <f t="shared" si="1"/>
        <v>80</v>
      </c>
    </row>
    <row r="14" spans="1:28">
      <c r="A14" s="29" t="s">
        <v>53</v>
      </c>
      <c r="B14" s="27" t="s">
        <v>64</v>
      </c>
      <c r="C14" s="26">
        <v>64</v>
      </c>
      <c r="D14" s="25"/>
      <c r="E14" s="3"/>
      <c r="F14" s="3"/>
      <c r="G14" s="4"/>
      <c r="H14" s="32"/>
      <c r="I14" s="33"/>
      <c r="J14" s="3"/>
      <c r="K14" s="26">
        <v>64</v>
      </c>
      <c r="L14" s="13">
        <v>50</v>
      </c>
      <c r="M14" s="11"/>
      <c r="N14" s="13">
        <v>12</v>
      </c>
      <c r="O14" s="12"/>
      <c r="P14" s="30">
        <v>14</v>
      </c>
      <c r="Q14" s="30">
        <v>16</v>
      </c>
      <c r="R14" s="30">
        <v>12</v>
      </c>
      <c r="S14" s="30">
        <v>10</v>
      </c>
      <c r="T14" s="11">
        <f t="shared" si="2"/>
        <v>52</v>
      </c>
      <c r="U14" s="27">
        <v>6</v>
      </c>
      <c r="V14" s="27">
        <v>6</v>
      </c>
      <c r="W14" s="27"/>
      <c r="X14" s="27"/>
      <c r="Y14" s="27"/>
      <c r="Z14" s="27"/>
      <c r="AA14" s="11">
        <f t="shared" si="0"/>
        <v>12</v>
      </c>
      <c r="AB14" s="25">
        <f t="shared" si="1"/>
        <v>64</v>
      </c>
    </row>
    <row r="15" spans="1:28">
      <c r="A15" s="29" t="s">
        <v>53</v>
      </c>
      <c r="B15" s="27" t="s">
        <v>67</v>
      </c>
      <c r="C15" s="26">
        <v>82</v>
      </c>
      <c r="D15" s="25"/>
      <c r="E15" s="3"/>
      <c r="F15" s="3"/>
      <c r="G15" s="4"/>
      <c r="H15" s="32"/>
      <c r="I15" s="33"/>
      <c r="J15" s="3"/>
      <c r="K15" s="26">
        <v>82</v>
      </c>
      <c r="L15" s="13">
        <v>82</v>
      </c>
      <c r="M15" s="11"/>
      <c r="N15" s="13"/>
      <c r="O15" s="12"/>
      <c r="P15" s="30">
        <v>24</v>
      </c>
      <c r="Q15" s="30">
        <v>20</v>
      </c>
      <c r="R15" s="30">
        <v>22</v>
      </c>
      <c r="S15" s="30">
        <v>16</v>
      </c>
      <c r="T15" s="11">
        <f t="shared" si="2"/>
        <v>82</v>
      </c>
      <c r="U15" s="27"/>
      <c r="V15" s="27"/>
      <c r="W15" s="27"/>
      <c r="X15" s="27"/>
      <c r="Y15" s="27"/>
      <c r="Z15" s="27"/>
      <c r="AA15" s="11">
        <f t="shared" si="0"/>
        <v>0</v>
      </c>
      <c r="AB15" s="25">
        <f t="shared" si="1"/>
        <v>82</v>
      </c>
    </row>
    <row r="16" spans="1:28" ht="31.5">
      <c r="A16" s="29" t="s">
        <v>57</v>
      </c>
      <c r="B16" s="27" t="s">
        <v>58</v>
      </c>
      <c r="C16" s="26">
        <v>22</v>
      </c>
      <c r="D16" s="25"/>
      <c r="E16" s="3"/>
      <c r="F16" s="3"/>
      <c r="G16" s="4"/>
      <c r="H16" s="32"/>
      <c r="I16" s="33"/>
      <c r="J16" s="3"/>
      <c r="K16" s="26">
        <v>22</v>
      </c>
      <c r="L16" s="13"/>
      <c r="M16" s="11"/>
      <c r="N16" s="13">
        <v>144</v>
      </c>
      <c r="O16" s="12"/>
      <c r="P16" s="31"/>
      <c r="Q16" s="31"/>
      <c r="R16" s="31"/>
      <c r="S16" s="31"/>
      <c r="T16" s="11"/>
      <c r="U16" s="27"/>
      <c r="V16" s="27"/>
      <c r="W16" s="27"/>
      <c r="X16" s="27"/>
      <c r="Y16" s="27"/>
      <c r="Z16" s="27">
        <v>22</v>
      </c>
      <c r="AA16" s="11">
        <f t="shared" si="0"/>
        <v>22</v>
      </c>
      <c r="AB16" s="25">
        <f t="shared" si="1"/>
        <v>22</v>
      </c>
    </row>
    <row r="17" spans="1:28" ht="31.5">
      <c r="A17" s="29" t="s">
        <v>57</v>
      </c>
      <c r="B17" s="27" t="s">
        <v>59</v>
      </c>
      <c r="C17" s="26">
        <v>17</v>
      </c>
      <c r="D17" s="26"/>
      <c r="E17" s="3"/>
      <c r="F17" s="3"/>
      <c r="G17" s="4"/>
      <c r="H17" s="32"/>
      <c r="I17" s="33"/>
      <c r="J17" s="3"/>
      <c r="K17" s="26">
        <v>17</v>
      </c>
      <c r="L17" s="13"/>
      <c r="M17" s="11"/>
      <c r="N17" s="13">
        <v>144</v>
      </c>
      <c r="O17" s="12"/>
      <c r="P17" s="31"/>
      <c r="Q17" s="31"/>
      <c r="R17" s="31"/>
      <c r="S17" s="31"/>
      <c r="T17" s="11"/>
      <c r="U17" s="27"/>
      <c r="V17" s="27"/>
      <c r="W17" s="27"/>
      <c r="X17" s="27"/>
      <c r="Y17" s="27"/>
      <c r="Z17" s="27">
        <v>17</v>
      </c>
      <c r="AA17" s="11">
        <f t="shared" si="0"/>
        <v>17</v>
      </c>
      <c r="AB17" s="25">
        <f t="shared" si="1"/>
        <v>17</v>
      </c>
    </row>
    <row r="18" spans="1:28" ht="21">
      <c r="A18" s="29" t="s">
        <v>66</v>
      </c>
      <c r="B18" s="27" t="s">
        <v>60</v>
      </c>
      <c r="C18" s="26">
        <v>94</v>
      </c>
      <c r="D18" s="26"/>
      <c r="E18" s="26"/>
      <c r="F18" s="23"/>
      <c r="G18" s="14"/>
      <c r="H18" s="22"/>
      <c r="I18" s="26"/>
      <c r="J18" s="23"/>
      <c r="K18" s="26">
        <v>94</v>
      </c>
      <c r="L18" s="13">
        <v>48</v>
      </c>
      <c r="M18" s="11"/>
      <c r="N18" s="13">
        <v>44</v>
      </c>
      <c r="O18" s="12"/>
      <c r="P18" s="30">
        <v>18</v>
      </c>
      <c r="Q18" s="30">
        <v>20</v>
      </c>
      <c r="R18" s="30">
        <v>18</v>
      </c>
      <c r="S18" s="30">
        <v>6</v>
      </c>
      <c r="T18" s="11">
        <f t="shared" si="2"/>
        <v>62</v>
      </c>
      <c r="U18" s="27">
        <v>6</v>
      </c>
      <c r="V18" s="27">
        <v>10</v>
      </c>
      <c r="W18" s="27">
        <v>12</v>
      </c>
      <c r="X18" s="27">
        <v>4</v>
      </c>
      <c r="Y18" s="27"/>
      <c r="Z18" s="27"/>
      <c r="AA18" s="11">
        <f t="shared" si="0"/>
        <v>32</v>
      </c>
      <c r="AB18" s="25">
        <f t="shared" si="1"/>
        <v>94</v>
      </c>
    </row>
    <row r="19" spans="1:28">
      <c r="A19" s="29" t="s">
        <v>53</v>
      </c>
      <c r="B19" s="27" t="s">
        <v>68</v>
      </c>
      <c r="C19" s="26">
        <v>87</v>
      </c>
      <c r="D19" s="26"/>
      <c r="E19" s="26"/>
      <c r="F19" s="23"/>
      <c r="G19" s="14"/>
      <c r="H19" s="22"/>
      <c r="I19" s="26"/>
      <c r="J19" s="23"/>
      <c r="K19" s="26">
        <v>87</v>
      </c>
      <c r="L19" s="13">
        <v>51</v>
      </c>
      <c r="M19" s="11"/>
      <c r="N19" s="13">
        <v>36</v>
      </c>
      <c r="O19" s="12"/>
      <c r="P19" s="30">
        <v>16</v>
      </c>
      <c r="Q19" s="30">
        <v>14</v>
      </c>
      <c r="R19" s="30">
        <v>8</v>
      </c>
      <c r="S19" s="30">
        <v>12</v>
      </c>
      <c r="T19" s="11">
        <f t="shared" si="2"/>
        <v>50</v>
      </c>
      <c r="U19" s="27">
        <v>6</v>
      </c>
      <c r="V19" s="27">
        <v>8</v>
      </c>
      <c r="W19" s="27">
        <v>8</v>
      </c>
      <c r="X19" s="27">
        <v>15</v>
      </c>
      <c r="Y19" s="27"/>
      <c r="Z19" s="27"/>
      <c r="AA19" s="11">
        <f t="shared" si="0"/>
        <v>37</v>
      </c>
      <c r="AB19" s="25">
        <f t="shared" si="1"/>
        <v>87</v>
      </c>
    </row>
    <row r="20" spans="1:28">
      <c r="A20" s="29" t="s">
        <v>53</v>
      </c>
      <c r="B20" s="28" t="s">
        <v>69</v>
      </c>
      <c r="C20" s="26">
        <v>68</v>
      </c>
      <c r="D20" s="23"/>
      <c r="E20" s="23"/>
      <c r="F20" s="23"/>
      <c r="G20" s="14"/>
      <c r="H20" s="22"/>
      <c r="I20" s="34"/>
      <c r="J20" s="23"/>
      <c r="K20" s="26">
        <v>68</v>
      </c>
      <c r="L20" s="13">
        <v>68</v>
      </c>
      <c r="M20" s="11"/>
      <c r="N20" s="13"/>
      <c r="O20" s="12"/>
      <c r="P20" s="30">
        <v>18</v>
      </c>
      <c r="Q20" s="30">
        <v>20</v>
      </c>
      <c r="R20" s="30">
        <v>16</v>
      </c>
      <c r="S20" s="30">
        <v>14</v>
      </c>
      <c r="T20" s="11">
        <f t="shared" si="2"/>
        <v>68</v>
      </c>
      <c r="U20" s="27"/>
      <c r="V20" s="27"/>
      <c r="W20" s="27"/>
      <c r="X20" s="27"/>
      <c r="Y20" s="27"/>
      <c r="Z20" s="27"/>
      <c r="AA20" s="11">
        <f t="shared" si="0"/>
        <v>0</v>
      </c>
      <c r="AB20" s="25">
        <f t="shared" si="1"/>
        <v>68</v>
      </c>
    </row>
    <row r="21" spans="1:28">
      <c r="A21" s="29" t="s">
        <v>53</v>
      </c>
      <c r="B21" s="28" t="s">
        <v>61</v>
      </c>
      <c r="C21" s="26">
        <v>76</v>
      </c>
      <c r="D21" s="24"/>
      <c r="E21" s="26"/>
      <c r="F21" s="24"/>
      <c r="G21" s="14"/>
      <c r="H21" s="22"/>
      <c r="I21" s="34"/>
      <c r="J21" s="23"/>
      <c r="K21" s="26">
        <v>76</v>
      </c>
      <c r="L21" s="13">
        <v>32</v>
      </c>
      <c r="M21" s="11"/>
      <c r="N21" s="13">
        <v>42</v>
      </c>
      <c r="O21" s="12"/>
      <c r="P21" s="30">
        <v>8</v>
      </c>
      <c r="Q21" s="30">
        <v>10</v>
      </c>
      <c r="R21" s="30">
        <v>8</v>
      </c>
      <c r="S21" s="30">
        <v>6</v>
      </c>
      <c r="T21" s="11">
        <f t="shared" si="2"/>
        <v>32</v>
      </c>
      <c r="U21" s="27">
        <v>6</v>
      </c>
      <c r="V21" s="27">
        <v>8</v>
      </c>
      <c r="W21" s="27">
        <v>8</v>
      </c>
      <c r="X21" s="27">
        <v>8</v>
      </c>
      <c r="Y21" s="27">
        <v>14</v>
      </c>
      <c r="Z21" s="27"/>
      <c r="AA21" s="11">
        <f t="shared" si="0"/>
        <v>44</v>
      </c>
      <c r="AB21" s="25">
        <f t="shared" si="1"/>
        <v>76</v>
      </c>
    </row>
    <row r="22" spans="1:28">
      <c r="A22" s="5" t="s">
        <v>34</v>
      </c>
      <c r="B22" s="19" t="s">
        <v>35</v>
      </c>
      <c r="C22" s="16">
        <f>C8+C9+C10+C11+C18</f>
        <v>440</v>
      </c>
      <c r="D22" s="9"/>
      <c r="E22" s="9"/>
      <c r="F22" s="9"/>
      <c r="G22" s="9"/>
      <c r="H22" s="9"/>
      <c r="I22" s="9"/>
      <c r="J22" s="9"/>
      <c r="K22" s="16">
        <f>K8+K9+K10+K11+K18</f>
        <v>440</v>
      </c>
      <c r="L22" s="17"/>
      <c r="M22" s="18"/>
      <c r="N22" s="18"/>
      <c r="O22" s="10"/>
      <c r="P22" s="9"/>
      <c r="Q22" s="9"/>
      <c r="R22" s="21"/>
      <c r="S22" s="21"/>
      <c r="T22" s="21"/>
      <c r="U22" s="21"/>
      <c r="V22" s="21"/>
      <c r="W22" s="21"/>
      <c r="X22" s="21"/>
      <c r="Y22" s="21"/>
      <c r="Z22" s="21"/>
      <c r="AA22" s="20"/>
      <c r="AB22" s="16">
        <f>AB8+AB9+AB10+AB11+AB18</f>
        <v>440</v>
      </c>
    </row>
    <row r="23" spans="1:28">
      <c r="A23" s="5" t="s">
        <v>34</v>
      </c>
      <c r="B23" s="19" t="s">
        <v>36</v>
      </c>
      <c r="C23" s="8">
        <f>C24-C22</f>
        <v>576</v>
      </c>
      <c r="D23" s="9"/>
      <c r="E23" s="9"/>
      <c r="F23" s="9"/>
      <c r="G23" s="9"/>
      <c r="H23" s="9"/>
      <c r="I23" s="9"/>
      <c r="J23" s="9"/>
      <c r="K23" s="8">
        <f>K24-K22</f>
        <v>576</v>
      </c>
      <c r="L23" s="17"/>
      <c r="M23" s="18"/>
      <c r="N23" s="18"/>
      <c r="O23" s="10"/>
      <c r="P23" s="9"/>
      <c r="Q23" s="9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8">
        <f>AB24-AB22</f>
        <v>576</v>
      </c>
    </row>
    <row r="24" spans="1:28">
      <c r="A24" s="49" t="s">
        <v>37</v>
      </c>
      <c r="B24" s="48"/>
      <c r="C24" s="47">
        <f t="shared" ref="C24:AB24" si="3">SUM(C8:C21)</f>
        <v>1016</v>
      </c>
      <c r="D24" s="47">
        <f t="shared" si="3"/>
        <v>0</v>
      </c>
      <c r="E24" s="47">
        <f t="shared" si="3"/>
        <v>0</v>
      </c>
      <c r="F24" s="47">
        <f t="shared" si="3"/>
        <v>0</v>
      </c>
      <c r="G24" s="47">
        <f t="shared" si="3"/>
        <v>0</v>
      </c>
      <c r="H24" s="47">
        <f t="shared" si="3"/>
        <v>0</v>
      </c>
      <c r="I24" s="47">
        <f t="shared" si="3"/>
        <v>0</v>
      </c>
      <c r="J24" s="47">
        <f t="shared" si="3"/>
        <v>0</v>
      </c>
      <c r="K24" s="47">
        <f t="shared" si="3"/>
        <v>1016</v>
      </c>
      <c r="L24" s="47">
        <f t="shared" si="3"/>
        <v>473</v>
      </c>
      <c r="M24" s="47">
        <f t="shared" si="3"/>
        <v>0</v>
      </c>
      <c r="N24" s="47">
        <f t="shared" si="3"/>
        <v>778</v>
      </c>
      <c r="O24" s="47">
        <f t="shared" si="3"/>
        <v>0</v>
      </c>
      <c r="P24" s="47">
        <f t="shared" si="3"/>
        <v>142</v>
      </c>
      <c r="Q24" s="47">
        <f t="shared" si="3"/>
        <v>142</v>
      </c>
      <c r="R24" s="47">
        <f t="shared" si="3"/>
        <v>124</v>
      </c>
      <c r="S24" s="47">
        <f t="shared" si="3"/>
        <v>94</v>
      </c>
      <c r="T24" s="47">
        <f t="shared" si="3"/>
        <v>502</v>
      </c>
      <c r="U24" s="47">
        <f t="shared" si="3"/>
        <v>76</v>
      </c>
      <c r="V24" s="47">
        <f t="shared" si="3"/>
        <v>106</v>
      </c>
      <c r="W24" s="47">
        <f t="shared" si="3"/>
        <v>88</v>
      </c>
      <c r="X24" s="47">
        <f t="shared" si="3"/>
        <v>93</v>
      </c>
      <c r="Y24" s="47">
        <f t="shared" si="3"/>
        <v>90</v>
      </c>
      <c r="Z24" s="47">
        <f t="shared" si="3"/>
        <v>61</v>
      </c>
      <c r="AA24" s="47">
        <f t="shared" si="3"/>
        <v>514</v>
      </c>
      <c r="AB24" s="47">
        <f t="shared" si="3"/>
        <v>1016</v>
      </c>
    </row>
    <row r="25" spans="1:28">
      <c r="A25" s="50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</row>
    <row r="26" spans="1:28">
      <c r="A26" s="6" t="s">
        <v>38</v>
      </c>
      <c r="B26" s="2"/>
      <c r="C26" s="2"/>
      <c r="D26" s="2"/>
      <c r="E26" s="2"/>
      <c r="F26" s="2"/>
      <c r="G26" s="2"/>
      <c r="H26" s="2"/>
      <c r="I26" s="2"/>
      <c r="J26" s="2"/>
      <c r="K26" s="6" t="s">
        <v>39</v>
      </c>
      <c r="L26" s="2"/>
      <c r="M26" s="2"/>
      <c r="N26" s="2"/>
      <c r="O26" s="2"/>
      <c r="P26" s="2"/>
      <c r="Q26" s="2"/>
      <c r="R26" s="2"/>
      <c r="S26" s="6" t="s">
        <v>40</v>
      </c>
      <c r="T26" s="2"/>
      <c r="U26" s="2"/>
      <c r="V26" s="7"/>
      <c r="W26" s="2"/>
      <c r="X26" s="2"/>
      <c r="Y26" s="2"/>
      <c r="Z26" s="2"/>
      <c r="AA26" s="2"/>
      <c r="AB26" s="2"/>
    </row>
    <row r="27" spans="1:28">
      <c r="A27" s="6" t="s">
        <v>41</v>
      </c>
      <c r="B27" s="2"/>
      <c r="C27" s="2"/>
      <c r="D27" s="2"/>
      <c r="E27" s="2"/>
      <c r="F27" s="2"/>
      <c r="G27" s="2"/>
      <c r="H27" s="2"/>
      <c r="I27" s="2"/>
      <c r="J27" s="2"/>
      <c r="K27" s="6" t="s">
        <v>42</v>
      </c>
      <c r="L27" s="2"/>
      <c r="M27" s="2"/>
      <c r="N27" s="2"/>
      <c r="O27" s="2"/>
      <c r="P27" s="2"/>
      <c r="Q27" s="2"/>
      <c r="R27" s="2"/>
      <c r="S27" s="6" t="s">
        <v>43</v>
      </c>
      <c r="T27" s="2"/>
      <c r="U27" s="2"/>
      <c r="V27" s="2"/>
      <c r="W27" s="2"/>
      <c r="X27" s="2"/>
      <c r="Y27" s="2"/>
      <c r="Z27" s="2"/>
      <c r="AA27" s="2"/>
      <c r="AB27" s="2"/>
    </row>
    <row r="28" spans="1:28">
      <c r="A28" s="6" t="s">
        <v>44</v>
      </c>
      <c r="B28" s="2"/>
      <c r="C28" s="2"/>
      <c r="D28" s="2"/>
      <c r="E28" s="2"/>
      <c r="F28" s="2"/>
      <c r="G28" s="2"/>
      <c r="H28" s="2"/>
      <c r="I28" s="2"/>
      <c r="J28" s="2"/>
      <c r="K28" s="6" t="s">
        <v>45</v>
      </c>
      <c r="L28" s="2"/>
      <c r="M28" s="2"/>
      <c r="N28" s="2"/>
      <c r="O28" s="2"/>
      <c r="P28" s="2"/>
      <c r="Q28" s="2"/>
      <c r="R28" s="2"/>
      <c r="S28" s="6" t="s">
        <v>46</v>
      </c>
      <c r="T28" s="2"/>
      <c r="U28" s="2"/>
      <c r="V28" s="2"/>
      <c r="W28" s="2"/>
      <c r="X28" s="2"/>
      <c r="Y28" s="2"/>
      <c r="Z28" s="2"/>
      <c r="AA28" s="2"/>
      <c r="AB28" s="2"/>
    </row>
    <row r="29" spans="1:28">
      <c r="A29" s="2"/>
      <c r="B29" s="2"/>
      <c r="C29" s="6" t="s">
        <v>47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Q29" s="2"/>
      <c r="R29" s="2"/>
      <c r="S29" s="6" t="s">
        <v>48</v>
      </c>
      <c r="T29" s="2"/>
      <c r="U29" s="2"/>
      <c r="V29" s="2"/>
      <c r="W29" s="2"/>
      <c r="X29" s="2"/>
      <c r="Y29" s="2"/>
      <c r="Z29" s="2"/>
      <c r="AA29" s="2"/>
      <c r="AB29" s="2"/>
    </row>
    <row r="30" spans="1:28">
      <c r="A30" s="2"/>
      <c r="B30" s="2"/>
      <c r="C30" s="6" t="s">
        <v>49</v>
      </c>
      <c r="E30" s="2"/>
      <c r="F30" s="2"/>
      <c r="G30" s="2"/>
      <c r="H30" s="2"/>
      <c r="I30" s="2" t="s">
        <v>50</v>
      </c>
      <c r="K30" s="2"/>
      <c r="L30" s="2"/>
      <c r="M30" s="2"/>
      <c r="N30" s="2"/>
      <c r="O30" s="2"/>
      <c r="Q30" s="2"/>
      <c r="R30" s="2"/>
      <c r="S30" s="2" t="s">
        <v>51</v>
      </c>
      <c r="T30" s="2"/>
      <c r="U30" s="2"/>
      <c r="V30" s="2"/>
      <c r="W30" s="2"/>
      <c r="X30" s="2"/>
      <c r="Y30" s="2"/>
      <c r="AA30" s="2"/>
      <c r="AB30" s="2"/>
    </row>
    <row r="31" spans="1:2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Q31" s="2"/>
      <c r="R31" s="2"/>
      <c r="S31" s="6" t="s">
        <v>52</v>
      </c>
      <c r="T31" s="2"/>
      <c r="U31" s="2"/>
      <c r="V31" s="2"/>
      <c r="X31" s="2"/>
      <c r="Y31" s="2"/>
      <c r="AA31" s="2" t="s">
        <v>54</v>
      </c>
      <c r="AB31" s="2"/>
    </row>
  </sheetData>
  <mergeCells count="55">
    <mergeCell ref="T24:T25"/>
    <mergeCell ref="AB24:AB25"/>
    <mergeCell ref="V24:V25"/>
    <mergeCell ref="W24:W25"/>
    <mergeCell ref="X24:X25"/>
    <mergeCell ref="Y24:Y25"/>
    <mergeCell ref="Z24:Z25"/>
    <mergeCell ref="AA24:AA25"/>
    <mergeCell ref="A24:A25"/>
    <mergeCell ref="B24:B25"/>
    <mergeCell ref="C24:C25"/>
    <mergeCell ref="D24:D25"/>
    <mergeCell ref="E24:E25"/>
    <mergeCell ref="P5:S5"/>
    <mergeCell ref="J24:J25"/>
    <mergeCell ref="K24:K25"/>
    <mergeCell ref="L6:M6"/>
    <mergeCell ref="N6:O6"/>
    <mergeCell ref="P6:S6"/>
    <mergeCell ref="P24:P25"/>
    <mergeCell ref="Q24:Q25"/>
    <mergeCell ref="R24:R25"/>
    <mergeCell ref="S24:S25"/>
    <mergeCell ref="AA5:AA7"/>
    <mergeCell ref="F24:F25"/>
    <mergeCell ref="G24:G25"/>
    <mergeCell ref="H24:H25"/>
    <mergeCell ref="I24:I25"/>
    <mergeCell ref="G6:G7"/>
    <mergeCell ref="H6:H7"/>
    <mergeCell ref="I6:I7"/>
    <mergeCell ref="L24:L25"/>
    <mergeCell ref="M24:M25"/>
    <mergeCell ref="N24:N25"/>
    <mergeCell ref="O24:O25"/>
    <mergeCell ref="U6:Z6"/>
    <mergeCell ref="T5:T7"/>
    <mergeCell ref="U5:Z5"/>
    <mergeCell ref="U24:U25"/>
    <mergeCell ref="A1:AB1"/>
    <mergeCell ref="A3:AB3"/>
    <mergeCell ref="A4:A7"/>
    <mergeCell ref="B4:B7"/>
    <mergeCell ref="C4:C7"/>
    <mergeCell ref="D4:F4"/>
    <mergeCell ref="G4:J4"/>
    <mergeCell ref="K4:K7"/>
    <mergeCell ref="L4:O5"/>
    <mergeCell ref="P4:AA4"/>
    <mergeCell ref="AB4:AB7"/>
    <mergeCell ref="D5:D7"/>
    <mergeCell ref="E5:E7"/>
    <mergeCell ref="F5:F7"/>
    <mergeCell ref="G5:I5"/>
    <mergeCell ref="J5:J7"/>
  </mergeCells>
  <pageMargins left="0.25" right="0.25" top="0.75" bottom="0.75" header="0.3" footer="0.3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6"/>
  <sheetViews>
    <sheetView workbookViewId="0">
      <selection sqref="A1:XFD1048576"/>
    </sheetView>
  </sheetViews>
  <sheetFormatPr defaultRowHeight="15"/>
  <cols>
    <col min="1" max="1" width="32.140625" customWidth="1"/>
    <col min="2" max="2" width="11" customWidth="1"/>
    <col min="3" max="3" width="6.140625" customWidth="1"/>
    <col min="4" max="6" width="5.28515625" customWidth="1"/>
    <col min="7" max="9" width="5.85546875" customWidth="1"/>
    <col min="10" max="10" width="5" customWidth="1"/>
    <col min="11" max="11" width="5.5703125" customWidth="1"/>
    <col min="12" max="15" width="5.42578125" customWidth="1"/>
    <col min="16" max="19" width="6" customWidth="1"/>
    <col min="20" max="20" width="6.140625" customWidth="1"/>
    <col min="21" max="26" width="5.7109375" customWidth="1"/>
    <col min="27" max="27" width="7" customWidth="1"/>
    <col min="28" max="28" width="7.42578125" customWidth="1"/>
  </cols>
  <sheetData>
    <row r="1" spans="1:28" ht="18.7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>
      <c r="A2" s="38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5.75">
      <c r="A3" s="43" t="s">
        <v>77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>
      <c r="A4" s="51" t="s">
        <v>1</v>
      </c>
      <c r="B4" s="51" t="s">
        <v>2</v>
      </c>
      <c r="C4" s="52" t="s">
        <v>3</v>
      </c>
      <c r="D4" s="51" t="s">
        <v>4</v>
      </c>
      <c r="E4" s="51"/>
      <c r="F4" s="51"/>
      <c r="G4" s="51" t="s">
        <v>5</v>
      </c>
      <c r="H4" s="51"/>
      <c r="I4" s="51"/>
      <c r="J4" s="51"/>
      <c r="K4" s="52" t="s">
        <v>6</v>
      </c>
      <c r="L4" s="51" t="s">
        <v>7</v>
      </c>
      <c r="M4" s="51"/>
      <c r="N4" s="51"/>
      <c r="O4" s="51"/>
      <c r="P4" s="51" t="s">
        <v>8</v>
      </c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 t="s">
        <v>9</v>
      </c>
    </row>
    <row r="5" spans="1:28" ht="20.25" customHeight="1">
      <c r="A5" s="51"/>
      <c r="B5" s="51"/>
      <c r="C5" s="52"/>
      <c r="D5" s="52" t="s">
        <v>10</v>
      </c>
      <c r="E5" s="52" t="s">
        <v>11</v>
      </c>
      <c r="F5" s="52" t="s">
        <v>55</v>
      </c>
      <c r="G5" s="51" t="s">
        <v>12</v>
      </c>
      <c r="H5" s="51"/>
      <c r="I5" s="51"/>
      <c r="J5" s="52" t="s">
        <v>13</v>
      </c>
      <c r="K5" s="52"/>
      <c r="L5" s="51"/>
      <c r="M5" s="51"/>
      <c r="N5" s="51"/>
      <c r="O5" s="51"/>
      <c r="P5" s="51" t="s">
        <v>14</v>
      </c>
      <c r="Q5" s="51"/>
      <c r="R5" s="51"/>
      <c r="S5" s="51"/>
      <c r="T5" s="52" t="s">
        <v>15</v>
      </c>
      <c r="U5" s="51" t="s">
        <v>16</v>
      </c>
      <c r="V5" s="51"/>
      <c r="W5" s="51"/>
      <c r="X5" s="51"/>
      <c r="Y5" s="51"/>
      <c r="Z5" s="51"/>
      <c r="AA5" s="52" t="s">
        <v>15</v>
      </c>
      <c r="AB5" s="51"/>
    </row>
    <row r="6" spans="1:28">
      <c r="A6" s="51"/>
      <c r="B6" s="51"/>
      <c r="C6" s="52"/>
      <c r="D6" s="52"/>
      <c r="E6" s="52"/>
      <c r="F6" s="52"/>
      <c r="G6" s="52" t="s">
        <v>11</v>
      </c>
      <c r="H6" s="52" t="s">
        <v>17</v>
      </c>
      <c r="I6" s="52" t="s">
        <v>18</v>
      </c>
      <c r="J6" s="52"/>
      <c r="K6" s="52"/>
      <c r="L6" s="51" t="s">
        <v>19</v>
      </c>
      <c r="M6" s="51"/>
      <c r="N6" s="51" t="s">
        <v>20</v>
      </c>
      <c r="O6" s="51"/>
      <c r="P6" s="51" t="s">
        <v>21</v>
      </c>
      <c r="Q6" s="51"/>
      <c r="R6" s="51"/>
      <c r="S6" s="51"/>
      <c r="T6" s="52"/>
      <c r="U6" s="51" t="s">
        <v>21</v>
      </c>
      <c r="V6" s="51"/>
      <c r="W6" s="51"/>
      <c r="X6" s="51"/>
      <c r="Y6" s="51"/>
      <c r="Z6" s="51"/>
      <c r="AA6" s="52"/>
      <c r="AB6" s="51"/>
    </row>
    <row r="7" spans="1:28" ht="39.75">
      <c r="A7" s="51"/>
      <c r="B7" s="51"/>
      <c r="C7" s="52"/>
      <c r="D7" s="52"/>
      <c r="E7" s="52"/>
      <c r="F7" s="52"/>
      <c r="G7" s="52"/>
      <c r="H7" s="52"/>
      <c r="I7" s="52"/>
      <c r="J7" s="52"/>
      <c r="K7" s="52"/>
      <c r="L7" s="53" t="s">
        <v>22</v>
      </c>
      <c r="M7" s="53" t="s">
        <v>23</v>
      </c>
      <c r="N7" s="53" t="s">
        <v>22</v>
      </c>
      <c r="O7" s="53" t="s">
        <v>23</v>
      </c>
      <c r="P7" s="53" t="s">
        <v>24</v>
      </c>
      <c r="Q7" s="53" t="s">
        <v>25</v>
      </c>
      <c r="R7" s="53" t="s">
        <v>26</v>
      </c>
      <c r="S7" s="53" t="s">
        <v>27</v>
      </c>
      <c r="T7" s="52"/>
      <c r="U7" s="53" t="s">
        <v>28</v>
      </c>
      <c r="V7" s="53" t="s">
        <v>29</v>
      </c>
      <c r="W7" s="53" t="s">
        <v>30</v>
      </c>
      <c r="X7" s="53" t="s">
        <v>31</v>
      </c>
      <c r="Y7" s="53" t="s">
        <v>32</v>
      </c>
      <c r="Z7" s="53" t="s">
        <v>33</v>
      </c>
      <c r="AA7" s="52"/>
      <c r="AB7" s="51"/>
    </row>
    <row r="8" spans="1:28">
      <c r="A8" s="29" t="s">
        <v>78</v>
      </c>
      <c r="B8" s="27" t="s">
        <v>79</v>
      </c>
      <c r="C8" s="26">
        <v>82</v>
      </c>
      <c r="D8" s="54"/>
      <c r="E8" s="54"/>
      <c r="F8" s="54"/>
      <c r="G8" s="55"/>
      <c r="H8" s="56"/>
      <c r="I8" s="54"/>
      <c r="J8" s="56"/>
      <c r="K8" s="26">
        <v>82</v>
      </c>
      <c r="L8" s="13">
        <v>34</v>
      </c>
      <c r="M8" s="57"/>
      <c r="N8" s="13">
        <v>48</v>
      </c>
      <c r="O8" s="12"/>
      <c r="P8" s="30">
        <v>4</v>
      </c>
      <c r="Q8" s="30">
        <v>0</v>
      </c>
      <c r="R8" s="30">
        <v>6</v>
      </c>
      <c r="S8" s="30">
        <v>6</v>
      </c>
      <c r="T8" s="11">
        <f>SUM(P8:S8)</f>
        <v>16</v>
      </c>
      <c r="U8" s="27">
        <v>4</v>
      </c>
      <c r="V8" s="27">
        <v>6</v>
      </c>
      <c r="W8" s="27">
        <v>8</v>
      </c>
      <c r="X8" s="27">
        <v>6</v>
      </c>
      <c r="Y8" s="27">
        <v>8</v>
      </c>
      <c r="Z8" s="27">
        <v>34</v>
      </c>
      <c r="AA8" s="58">
        <f>SUM(U8:Z8)</f>
        <v>66</v>
      </c>
      <c r="AB8" s="11">
        <f>T8+AA8</f>
        <v>82</v>
      </c>
    </row>
    <row r="9" spans="1:28">
      <c r="A9" s="29" t="s">
        <v>78</v>
      </c>
      <c r="B9" s="27" t="s">
        <v>72</v>
      </c>
      <c r="C9" s="26">
        <v>82</v>
      </c>
      <c r="D9" s="54"/>
      <c r="E9" s="54"/>
      <c r="F9" s="54"/>
      <c r="G9" s="55"/>
      <c r="H9" s="56"/>
      <c r="I9" s="54"/>
      <c r="J9" s="56"/>
      <c r="K9" s="26">
        <v>82</v>
      </c>
      <c r="L9" s="13">
        <v>34</v>
      </c>
      <c r="M9" s="57"/>
      <c r="N9" s="13">
        <v>48</v>
      </c>
      <c r="O9" s="12"/>
      <c r="P9" s="30">
        <v>6</v>
      </c>
      <c r="Q9" s="30">
        <v>8</v>
      </c>
      <c r="R9" s="30">
        <v>10</v>
      </c>
      <c r="S9" s="30">
        <v>8</v>
      </c>
      <c r="T9" s="11">
        <f t="shared" ref="T9:T26" si="0">SUM(P9:S9)</f>
        <v>32</v>
      </c>
      <c r="U9" s="27">
        <v>4</v>
      </c>
      <c r="V9" s="27">
        <v>12</v>
      </c>
      <c r="W9" s="27">
        <v>10</v>
      </c>
      <c r="X9" s="27">
        <v>18</v>
      </c>
      <c r="Y9" s="27">
        <v>6</v>
      </c>
      <c r="Z9" s="27"/>
      <c r="AA9" s="58">
        <f t="shared" ref="AA9:AA26" si="1">SUM(U9:Z9)</f>
        <v>50</v>
      </c>
      <c r="AB9" s="11">
        <f t="shared" ref="AB9:AB26" si="2">T9+AA9</f>
        <v>82</v>
      </c>
    </row>
    <row r="10" spans="1:28">
      <c r="A10" s="29" t="s">
        <v>78</v>
      </c>
      <c r="B10" s="27" t="s">
        <v>74</v>
      </c>
      <c r="C10" s="26">
        <v>84</v>
      </c>
      <c r="D10" s="54"/>
      <c r="E10" s="54"/>
      <c r="F10" s="54"/>
      <c r="G10" s="55"/>
      <c r="H10" s="56"/>
      <c r="I10" s="54"/>
      <c r="J10" s="56"/>
      <c r="K10" s="26">
        <v>84</v>
      </c>
      <c r="L10" s="13">
        <v>60</v>
      </c>
      <c r="M10" s="57"/>
      <c r="N10" s="13">
        <v>24</v>
      </c>
      <c r="O10" s="12"/>
      <c r="P10" s="30">
        <v>0</v>
      </c>
      <c r="Q10" s="30">
        <v>6</v>
      </c>
      <c r="R10" s="30">
        <v>14</v>
      </c>
      <c r="S10" s="30">
        <v>14</v>
      </c>
      <c r="T10" s="11">
        <f t="shared" si="0"/>
        <v>34</v>
      </c>
      <c r="U10" s="27">
        <v>4</v>
      </c>
      <c r="V10" s="27">
        <v>4</v>
      </c>
      <c r="W10" s="27">
        <v>4</v>
      </c>
      <c r="X10" s="27">
        <v>0</v>
      </c>
      <c r="Y10" s="27">
        <v>20</v>
      </c>
      <c r="Z10" s="27">
        <v>18</v>
      </c>
      <c r="AA10" s="58">
        <f t="shared" si="1"/>
        <v>50</v>
      </c>
      <c r="AB10" s="11">
        <f t="shared" si="2"/>
        <v>84</v>
      </c>
    </row>
    <row r="11" spans="1:28">
      <c r="A11" s="29" t="s">
        <v>78</v>
      </c>
      <c r="B11" s="27" t="s">
        <v>80</v>
      </c>
      <c r="C11" s="26">
        <v>82</v>
      </c>
      <c r="D11" s="54"/>
      <c r="E11" s="54"/>
      <c r="F11" s="54"/>
      <c r="G11" s="55"/>
      <c r="H11" s="56"/>
      <c r="I11" s="54"/>
      <c r="J11" s="56"/>
      <c r="K11" s="26">
        <v>82</v>
      </c>
      <c r="L11" s="13">
        <v>34</v>
      </c>
      <c r="M11" s="57"/>
      <c r="N11" s="13">
        <v>48</v>
      </c>
      <c r="O11" s="12"/>
      <c r="P11" s="30">
        <v>6</v>
      </c>
      <c r="Q11" s="30">
        <v>6</v>
      </c>
      <c r="R11" s="30">
        <v>8</v>
      </c>
      <c r="S11" s="30">
        <v>2</v>
      </c>
      <c r="T11" s="11">
        <f t="shared" si="0"/>
        <v>22</v>
      </c>
      <c r="U11" s="27">
        <v>6</v>
      </c>
      <c r="V11" s="27">
        <v>6</v>
      </c>
      <c r="W11" s="27">
        <v>8</v>
      </c>
      <c r="X11" s="27">
        <v>10</v>
      </c>
      <c r="Y11" s="27">
        <v>6</v>
      </c>
      <c r="Z11" s="27">
        <v>24</v>
      </c>
      <c r="AA11" s="58">
        <f t="shared" si="1"/>
        <v>60</v>
      </c>
      <c r="AB11" s="11">
        <f t="shared" si="2"/>
        <v>82</v>
      </c>
    </row>
    <row r="12" spans="1:28">
      <c r="A12" s="29" t="s">
        <v>78</v>
      </c>
      <c r="B12" s="27" t="s">
        <v>81</v>
      </c>
      <c r="C12" s="26">
        <v>82</v>
      </c>
      <c r="D12" s="54"/>
      <c r="E12" s="54"/>
      <c r="F12" s="54"/>
      <c r="G12" s="55"/>
      <c r="H12" s="56"/>
      <c r="I12" s="54"/>
      <c r="J12" s="56"/>
      <c r="K12" s="26">
        <v>82</v>
      </c>
      <c r="L12" s="13">
        <v>34</v>
      </c>
      <c r="M12" s="57"/>
      <c r="N12" s="13">
        <v>48</v>
      </c>
      <c r="O12" s="12"/>
      <c r="P12" s="30">
        <v>8</v>
      </c>
      <c r="Q12" s="30">
        <v>6</v>
      </c>
      <c r="R12" s="30">
        <v>6</v>
      </c>
      <c r="S12" s="30">
        <v>6</v>
      </c>
      <c r="T12" s="11">
        <f t="shared" si="0"/>
        <v>26</v>
      </c>
      <c r="U12" s="27">
        <v>6</v>
      </c>
      <c r="V12" s="27">
        <v>12</v>
      </c>
      <c r="W12" s="27">
        <v>10</v>
      </c>
      <c r="X12" s="27">
        <v>4</v>
      </c>
      <c r="Y12" s="27">
        <v>14</v>
      </c>
      <c r="Z12" s="59">
        <v>10</v>
      </c>
      <c r="AA12" s="58">
        <f t="shared" si="1"/>
        <v>56</v>
      </c>
      <c r="AB12" s="11">
        <f t="shared" si="2"/>
        <v>82</v>
      </c>
    </row>
    <row r="13" spans="1:28">
      <c r="A13" s="29" t="s">
        <v>78</v>
      </c>
      <c r="B13" s="27" t="s">
        <v>71</v>
      </c>
      <c r="C13" s="26">
        <v>84</v>
      </c>
      <c r="D13" s="54"/>
      <c r="E13" s="54"/>
      <c r="F13" s="54"/>
      <c r="G13" s="55"/>
      <c r="H13" s="56"/>
      <c r="I13" s="54"/>
      <c r="J13" s="56"/>
      <c r="K13" s="26">
        <v>84</v>
      </c>
      <c r="L13" s="13">
        <v>34</v>
      </c>
      <c r="M13" s="57"/>
      <c r="N13" s="13">
        <v>50</v>
      </c>
      <c r="O13" s="12"/>
      <c r="P13" s="31"/>
      <c r="Q13" s="30">
        <v>6</v>
      </c>
      <c r="R13" s="30">
        <v>8</v>
      </c>
      <c r="S13" s="30">
        <v>12</v>
      </c>
      <c r="T13" s="11">
        <f t="shared" si="0"/>
        <v>26</v>
      </c>
      <c r="U13" s="27">
        <v>6</v>
      </c>
      <c r="V13" s="27">
        <v>4</v>
      </c>
      <c r="W13" s="27">
        <v>10</v>
      </c>
      <c r="X13" s="27">
        <v>8</v>
      </c>
      <c r="Y13" s="27">
        <v>10</v>
      </c>
      <c r="Z13" s="27">
        <v>20</v>
      </c>
      <c r="AA13" s="58">
        <f t="shared" si="1"/>
        <v>58</v>
      </c>
      <c r="AB13" s="11">
        <f t="shared" si="2"/>
        <v>84</v>
      </c>
    </row>
    <row r="14" spans="1:28">
      <c r="A14" s="29" t="s">
        <v>78</v>
      </c>
      <c r="B14" s="27" t="s">
        <v>63</v>
      </c>
      <c r="C14" s="26">
        <v>74</v>
      </c>
      <c r="D14" s="54"/>
      <c r="E14" s="54"/>
      <c r="F14" s="54"/>
      <c r="G14" s="55"/>
      <c r="H14" s="56"/>
      <c r="I14" s="54"/>
      <c r="J14" s="56"/>
      <c r="K14" s="26">
        <v>74</v>
      </c>
      <c r="L14" s="13"/>
      <c r="M14" s="57"/>
      <c r="N14" s="13">
        <v>74</v>
      </c>
      <c r="O14" s="12"/>
      <c r="P14" s="31"/>
      <c r="Q14" s="31"/>
      <c r="R14" s="31"/>
      <c r="S14" s="31"/>
      <c r="T14" s="11">
        <f t="shared" si="0"/>
        <v>0</v>
      </c>
      <c r="U14" s="27">
        <v>12</v>
      </c>
      <c r="V14" s="27">
        <v>18</v>
      </c>
      <c r="W14" s="27">
        <v>20</v>
      </c>
      <c r="X14" s="27">
        <v>16</v>
      </c>
      <c r="Y14" s="27">
        <v>8</v>
      </c>
      <c r="Z14" s="27"/>
      <c r="AA14" s="58">
        <f t="shared" si="1"/>
        <v>74</v>
      </c>
      <c r="AB14" s="11">
        <f t="shared" si="2"/>
        <v>74</v>
      </c>
    </row>
    <row r="15" spans="1:28">
      <c r="A15" s="29" t="s">
        <v>78</v>
      </c>
      <c r="B15" s="27" t="s">
        <v>82</v>
      </c>
      <c r="C15" s="26">
        <v>80</v>
      </c>
      <c r="D15" s="54"/>
      <c r="E15" s="54"/>
      <c r="F15" s="54"/>
      <c r="G15" s="55"/>
      <c r="H15" s="56"/>
      <c r="I15" s="54"/>
      <c r="J15" s="56"/>
      <c r="K15" s="26">
        <v>80</v>
      </c>
      <c r="L15" s="13">
        <v>32</v>
      </c>
      <c r="M15" s="57"/>
      <c r="N15" s="13">
        <v>46</v>
      </c>
      <c r="O15" s="12"/>
      <c r="P15" s="30">
        <v>6</v>
      </c>
      <c r="Q15" s="30">
        <v>8</v>
      </c>
      <c r="R15" s="30">
        <v>8</v>
      </c>
      <c r="S15" s="30">
        <v>12</v>
      </c>
      <c r="T15" s="11">
        <f t="shared" si="0"/>
        <v>34</v>
      </c>
      <c r="U15" s="27">
        <v>2</v>
      </c>
      <c r="V15" s="27">
        <v>6</v>
      </c>
      <c r="W15" s="27">
        <v>6</v>
      </c>
      <c r="X15" s="27">
        <v>8</v>
      </c>
      <c r="Y15" s="27">
        <v>14</v>
      </c>
      <c r="Z15" s="59">
        <v>10</v>
      </c>
      <c r="AA15" s="58">
        <f t="shared" si="1"/>
        <v>46</v>
      </c>
      <c r="AB15" s="11">
        <f t="shared" si="2"/>
        <v>80</v>
      </c>
    </row>
    <row r="16" spans="1:28">
      <c r="A16" s="29" t="s">
        <v>78</v>
      </c>
      <c r="B16" s="27" t="s">
        <v>83</v>
      </c>
      <c r="C16" s="26">
        <v>76</v>
      </c>
      <c r="D16" s="54"/>
      <c r="E16" s="54"/>
      <c r="F16" s="54"/>
      <c r="G16" s="55"/>
      <c r="H16" s="56"/>
      <c r="I16" s="54"/>
      <c r="J16" s="56"/>
      <c r="K16" s="26">
        <v>76</v>
      </c>
      <c r="L16" s="13">
        <v>32</v>
      </c>
      <c r="M16" s="57"/>
      <c r="N16" s="13">
        <v>42</v>
      </c>
      <c r="O16" s="12"/>
      <c r="P16" s="60">
        <v>6</v>
      </c>
      <c r="Q16" s="30">
        <v>10</v>
      </c>
      <c r="R16" s="30">
        <v>8</v>
      </c>
      <c r="S16" s="30">
        <v>8</v>
      </c>
      <c r="T16" s="11">
        <f t="shared" si="0"/>
        <v>32</v>
      </c>
      <c r="U16" s="27">
        <v>10</v>
      </c>
      <c r="V16" s="27">
        <v>4</v>
      </c>
      <c r="W16" s="27">
        <v>10</v>
      </c>
      <c r="X16" s="27">
        <v>6</v>
      </c>
      <c r="Y16" s="27">
        <v>14</v>
      </c>
      <c r="Z16" s="27"/>
      <c r="AA16" s="58">
        <f t="shared" si="1"/>
        <v>44</v>
      </c>
      <c r="AB16" s="11">
        <f t="shared" si="2"/>
        <v>76</v>
      </c>
    </row>
    <row r="17" spans="1:28">
      <c r="A17" s="29" t="s">
        <v>78</v>
      </c>
      <c r="B17" s="27" t="s">
        <v>84</v>
      </c>
      <c r="C17" s="26">
        <v>76</v>
      </c>
      <c r="D17" s="54"/>
      <c r="E17" s="54"/>
      <c r="F17" s="54"/>
      <c r="G17" s="55"/>
      <c r="H17" s="56"/>
      <c r="I17" s="54"/>
      <c r="J17" s="56"/>
      <c r="K17" s="26">
        <v>76</v>
      </c>
      <c r="L17" s="13">
        <v>32</v>
      </c>
      <c r="M17" s="57"/>
      <c r="N17" s="13">
        <v>42</v>
      </c>
      <c r="O17" s="12"/>
      <c r="P17" s="30">
        <v>6</v>
      </c>
      <c r="Q17" s="30">
        <v>10</v>
      </c>
      <c r="R17" s="30">
        <v>10</v>
      </c>
      <c r="S17" s="30">
        <v>6</v>
      </c>
      <c r="T17" s="11">
        <f t="shared" si="0"/>
        <v>32</v>
      </c>
      <c r="U17" s="27">
        <v>10</v>
      </c>
      <c r="V17" s="27">
        <v>4</v>
      </c>
      <c r="W17" s="27">
        <v>8</v>
      </c>
      <c r="X17" s="27">
        <v>10</v>
      </c>
      <c r="Y17" s="27">
        <v>12</v>
      </c>
      <c r="Z17" s="27"/>
      <c r="AA17" s="58">
        <f t="shared" si="1"/>
        <v>44</v>
      </c>
      <c r="AB17" s="11">
        <f t="shared" si="2"/>
        <v>76</v>
      </c>
    </row>
    <row r="18" spans="1:28" ht="21">
      <c r="A18" s="29" t="s">
        <v>78</v>
      </c>
      <c r="B18" s="27" t="s">
        <v>85</v>
      </c>
      <c r="C18" s="26">
        <v>50</v>
      </c>
      <c r="D18" s="54"/>
      <c r="E18" s="54"/>
      <c r="F18" s="54"/>
      <c r="G18" s="55"/>
      <c r="H18" s="56"/>
      <c r="I18" s="54"/>
      <c r="J18" s="56"/>
      <c r="K18" s="26">
        <v>50</v>
      </c>
      <c r="L18" s="13">
        <v>34</v>
      </c>
      <c r="M18" s="57"/>
      <c r="N18" s="13">
        <v>14</v>
      </c>
      <c r="O18" s="12"/>
      <c r="P18" s="30">
        <v>4</v>
      </c>
      <c r="Q18" s="30">
        <v>6</v>
      </c>
      <c r="R18" s="30">
        <v>12</v>
      </c>
      <c r="S18" s="30">
        <v>12</v>
      </c>
      <c r="T18" s="11">
        <f t="shared" si="0"/>
        <v>34</v>
      </c>
      <c r="U18" s="27">
        <v>16</v>
      </c>
      <c r="V18" s="27"/>
      <c r="W18" s="27"/>
      <c r="X18" s="27"/>
      <c r="Y18" s="27"/>
      <c r="Z18" s="27"/>
      <c r="AA18" s="58">
        <f t="shared" si="1"/>
        <v>16</v>
      </c>
      <c r="AB18" s="11">
        <f t="shared" si="2"/>
        <v>50</v>
      </c>
    </row>
    <row r="19" spans="1:28">
      <c r="A19" s="29" t="s">
        <v>78</v>
      </c>
      <c r="B19" s="27" t="s">
        <v>86</v>
      </c>
      <c r="C19" s="26">
        <v>82</v>
      </c>
      <c r="D19" s="54"/>
      <c r="E19" s="54"/>
      <c r="F19" s="54"/>
      <c r="G19" s="55"/>
      <c r="H19" s="56"/>
      <c r="I19" s="54"/>
      <c r="J19" s="56"/>
      <c r="K19" s="26">
        <v>82</v>
      </c>
      <c r="L19" s="13">
        <v>34</v>
      </c>
      <c r="M19" s="57"/>
      <c r="N19" s="13">
        <v>48</v>
      </c>
      <c r="O19" s="12"/>
      <c r="P19" s="30">
        <v>4</v>
      </c>
      <c r="Q19" s="30">
        <v>10</v>
      </c>
      <c r="R19" s="30">
        <v>12</v>
      </c>
      <c r="S19" s="30">
        <v>8</v>
      </c>
      <c r="T19" s="11">
        <f t="shared" si="0"/>
        <v>34</v>
      </c>
      <c r="U19" s="27">
        <v>6</v>
      </c>
      <c r="V19" s="27">
        <v>8</v>
      </c>
      <c r="W19" s="27">
        <v>10</v>
      </c>
      <c r="X19" s="27">
        <v>12</v>
      </c>
      <c r="Y19" s="27">
        <v>8</v>
      </c>
      <c r="Z19" s="27">
        <v>4</v>
      </c>
      <c r="AA19" s="58">
        <f t="shared" si="1"/>
        <v>48</v>
      </c>
      <c r="AB19" s="11">
        <f t="shared" si="2"/>
        <v>82</v>
      </c>
    </row>
    <row r="20" spans="1:28">
      <c r="A20" s="29" t="s">
        <v>78</v>
      </c>
      <c r="B20" s="27" t="s">
        <v>87</v>
      </c>
      <c r="C20" s="26">
        <v>82</v>
      </c>
      <c r="D20" s="54"/>
      <c r="E20" s="54"/>
      <c r="F20" s="54"/>
      <c r="G20" s="55"/>
      <c r="H20" s="56"/>
      <c r="I20" s="54"/>
      <c r="J20" s="56"/>
      <c r="K20" s="26">
        <v>82</v>
      </c>
      <c r="L20" s="13">
        <v>34</v>
      </c>
      <c r="M20" s="57"/>
      <c r="N20" s="13">
        <v>48</v>
      </c>
      <c r="O20" s="12"/>
      <c r="P20" s="30">
        <v>8</v>
      </c>
      <c r="Q20" s="30">
        <v>8</v>
      </c>
      <c r="R20" s="30">
        <v>8</v>
      </c>
      <c r="S20" s="30">
        <v>6</v>
      </c>
      <c r="T20" s="11">
        <f t="shared" si="0"/>
        <v>30</v>
      </c>
      <c r="U20" s="27">
        <v>6</v>
      </c>
      <c r="V20" s="27">
        <v>6</v>
      </c>
      <c r="W20" s="27">
        <v>8</v>
      </c>
      <c r="X20" s="27">
        <v>6</v>
      </c>
      <c r="Y20" s="27">
        <v>6</v>
      </c>
      <c r="Z20" s="27">
        <v>20</v>
      </c>
      <c r="AA20" s="58">
        <f t="shared" si="1"/>
        <v>52</v>
      </c>
      <c r="AB20" s="11">
        <f t="shared" si="2"/>
        <v>82</v>
      </c>
    </row>
    <row r="21" spans="1:28">
      <c r="A21" s="29" t="s">
        <v>78</v>
      </c>
      <c r="B21" s="27" t="s">
        <v>88</v>
      </c>
      <c r="C21" s="26">
        <v>82</v>
      </c>
      <c r="D21" s="54"/>
      <c r="E21" s="54"/>
      <c r="F21" s="54"/>
      <c r="G21" s="55"/>
      <c r="H21" s="56"/>
      <c r="I21" s="54"/>
      <c r="J21" s="56"/>
      <c r="K21" s="26">
        <v>82</v>
      </c>
      <c r="L21" s="13">
        <v>34</v>
      </c>
      <c r="M21" s="57"/>
      <c r="N21" s="13">
        <v>48</v>
      </c>
      <c r="O21" s="12"/>
      <c r="P21" s="30">
        <v>8</v>
      </c>
      <c r="Q21" s="30">
        <v>10</v>
      </c>
      <c r="R21" s="30">
        <v>14</v>
      </c>
      <c r="S21" s="30">
        <v>2</v>
      </c>
      <c r="T21" s="11">
        <f t="shared" si="0"/>
        <v>34</v>
      </c>
      <c r="U21" s="27">
        <v>8</v>
      </c>
      <c r="V21" s="27">
        <v>10</v>
      </c>
      <c r="W21" s="27">
        <v>4</v>
      </c>
      <c r="X21" s="27">
        <v>4</v>
      </c>
      <c r="Y21" s="27">
        <v>6</v>
      </c>
      <c r="Z21" s="27">
        <v>16</v>
      </c>
      <c r="AA21" s="58">
        <f t="shared" si="1"/>
        <v>48</v>
      </c>
      <c r="AB21" s="11">
        <f t="shared" si="2"/>
        <v>82</v>
      </c>
    </row>
    <row r="22" spans="1:28">
      <c r="A22" s="29" t="s">
        <v>78</v>
      </c>
      <c r="B22" s="28" t="s">
        <v>89</v>
      </c>
      <c r="C22" s="26">
        <v>82</v>
      </c>
      <c r="D22" s="54"/>
      <c r="E22" s="54"/>
      <c r="F22" s="54"/>
      <c r="G22" s="55"/>
      <c r="H22" s="56"/>
      <c r="I22" s="54"/>
      <c r="J22" s="56"/>
      <c r="K22" s="26">
        <v>82</v>
      </c>
      <c r="L22" s="13">
        <v>34</v>
      </c>
      <c r="M22" s="57"/>
      <c r="N22" s="13">
        <v>48</v>
      </c>
      <c r="O22" s="12"/>
      <c r="P22" s="30">
        <v>10</v>
      </c>
      <c r="Q22" s="30">
        <v>6</v>
      </c>
      <c r="R22" s="30">
        <v>4</v>
      </c>
      <c r="S22" s="30">
        <v>8</v>
      </c>
      <c r="T22" s="11">
        <f t="shared" si="0"/>
        <v>28</v>
      </c>
      <c r="U22" s="28">
        <v>6</v>
      </c>
      <c r="V22" s="28">
        <v>6</v>
      </c>
      <c r="W22" s="28">
        <v>6</v>
      </c>
      <c r="X22" s="28">
        <v>10</v>
      </c>
      <c r="Y22" s="28">
        <v>10</v>
      </c>
      <c r="Z22" s="28">
        <v>16</v>
      </c>
      <c r="AA22" s="58">
        <f t="shared" si="1"/>
        <v>54</v>
      </c>
      <c r="AB22" s="11">
        <f t="shared" si="2"/>
        <v>82</v>
      </c>
    </row>
    <row r="23" spans="1:28">
      <c r="A23" s="29" t="s">
        <v>78</v>
      </c>
      <c r="B23" s="28" t="s">
        <v>69</v>
      </c>
      <c r="C23" s="26">
        <v>70</v>
      </c>
      <c r="D23" s="54"/>
      <c r="E23" s="54"/>
      <c r="F23" s="54"/>
      <c r="G23" s="55"/>
      <c r="H23" s="56"/>
      <c r="I23" s="54"/>
      <c r="J23" s="56"/>
      <c r="K23" s="26">
        <v>70</v>
      </c>
      <c r="L23" s="13">
        <v>34</v>
      </c>
      <c r="M23" s="57"/>
      <c r="N23" s="13">
        <v>36</v>
      </c>
      <c r="O23" s="12"/>
      <c r="P23" s="30">
        <v>2</v>
      </c>
      <c r="Q23" s="30">
        <v>12</v>
      </c>
      <c r="R23" s="30">
        <v>8</v>
      </c>
      <c r="S23" s="30">
        <v>4</v>
      </c>
      <c r="T23" s="11">
        <f t="shared" si="0"/>
        <v>26</v>
      </c>
      <c r="U23" s="27">
        <v>6</v>
      </c>
      <c r="V23" s="27">
        <v>8</v>
      </c>
      <c r="W23" s="27">
        <v>6</v>
      </c>
      <c r="X23" s="27">
        <v>4</v>
      </c>
      <c r="Y23" s="27">
        <v>20</v>
      </c>
      <c r="Z23" s="27"/>
      <c r="AA23" s="58">
        <f t="shared" si="1"/>
        <v>44</v>
      </c>
      <c r="AB23" s="11">
        <f t="shared" si="2"/>
        <v>70</v>
      </c>
    </row>
    <row r="24" spans="1:28">
      <c r="A24" s="29" t="s">
        <v>78</v>
      </c>
      <c r="B24" s="27" t="s">
        <v>90</v>
      </c>
      <c r="C24" s="26">
        <v>76</v>
      </c>
      <c r="D24" s="54"/>
      <c r="E24" s="54"/>
      <c r="F24" s="54"/>
      <c r="G24" s="55"/>
      <c r="H24" s="56"/>
      <c r="I24" s="54"/>
      <c r="J24" s="56"/>
      <c r="K24" s="26">
        <v>76</v>
      </c>
      <c r="L24" s="13">
        <v>33</v>
      </c>
      <c r="M24" s="57"/>
      <c r="N24" s="13">
        <v>43</v>
      </c>
      <c r="O24" s="12"/>
      <c r="P24" s="30">
        <v>6</v>
      </c>
      <c r="Q24" s="30">
        <v>10</v>
      </c>
      <c r="R24" s="30">
        <v>8</v>
      </c>
      <c r="S24" s="30">
        <v>6</v>
      </c>
      <c r="T24" s="11">
        <f t="shared" si="0"/>
        <v>30</v>
      </c>
      <c r="U24" s="27">
        <v>6</v>
      </c>
      <c r="V24" s="27">
        <v>8</v>
      </c>
      <c r="W24" s="27">
        <v>8</v>
      </c>
      <c r="X24" s="27">
        <v>12</v>
      </c>
      <c r="Y24" s="27">
        <v>4</v>
      </c>
      <c r="Z24" s="27">
        <v>8</v>
      </c>
      <c r="AA24" s="58">
        <f t="shared" si="1"/>
        <v>46</v>
      </c>
      <c r="AB24" s="11">
        <f t="shared" si="2"/>
        <v>76</v>
      </c>
    </row>
    <row r="25" spans="1:28" ht="21">
      <c r="A25" s="29" t="s">
        <v>78</v>
      </c>
      <c r="B25" s="28" t="s">
        <v>61</v>
      </c>
      <c r="C25" s="26">
        <v>76</v>
      </c>
      <c r="D25" s="54"/>
      <c r="E25" s="54"/>
      <c r="F25" s="54"/>
      <c r="G25" s="55"/>
      <c r="H25" s="56"/>
      <c r="I25" s="54"/>
      <c r="J25" s="56"/>
      <c r="K25" s="26">
        <v>76</v>
      </c>
      <c r="L25" s="13">
        <v>32</v>
      </c>
      <c r="M25" s="57"/>
      <c r="N25" s="13">
        <v>42</v>
      </c>
      <c r="O25" s="12"/>
      <c r="P25" s="30">
        <v>4</v>
      </c>
      <c r="Q25" s="30">
        <v>14</v>
      </c>
      <c r="R25" s="30">
        <v>14</v>
      </c>
      <c r="S25" s="30">
        <v>0</v>
      </c>
      <c r="T25" s="11">
        <f t="shared" si="0"/>
        <v>32</v>
      </c>
      <c r="U25" s="27">
        <v>8</v>
      </c>
      <c r="V25" s="27">
        <v>6</v>
      </c>
      <c r="W25" s="27">
        <v>10</v>
      </c>
      <c r="X25" s="27">
        <v>4</v>
      </c>
      <c r="Y25" s="27">
        <v>16</v>
      </c>
      <c r="Z25" s="27"/>
      <c r="AA25" s="58">
        <f t="shared" si="1"/>
        <v>44</v>
      </c>
      <c r="AB25" s="11">
        <f t="shared" si="2"/>
        <v>76</v>
      </c>
    </row>
    <row r="26" spans="1:28">
      <c r="A26" s="29" t="s">
        <v>78</v>
      </c>
      <c r="B26" s="27" t="s">
        <v>91</v>
      </c>
      <c r="C26" s="26">
        <v>38</v>
      </c>
      <c r="D26" s="54"/>
      <c r="E26" s="54"/>
      <c r="F26" s="54"/>
      <c r="G26" s="55"/>
      <c r="H26" s="56"/>
      <c r="I26" s="54"/>
      <c r="J26" s="56"/>
      <c r="K26" s="26">
        <v>38</v>
      </c>
      <c r="L26" s="13">
        <v>36</v>
      </c>
      <c r="M26" s="57"/>
      <c r="N26" s="13"/>
      <c r="O26" s="12"/>
      <c r="P26" s="30">
        <v>6</v>
      </c>
      <c r="Q26" s="30">
        <v>12</v>
      </c>
      <c r="R26" s="30">
        <v>10</v>
      </c>
      <c r="S26" s="30">
        <v>10</v>
      </c>
      <c r="T26" s="11">
        <f t="shared" si="0"/>
        <v>38</v>
      </c>
      <c r="U26" s="27"/>
      <c r="V26" s="27"/>
      <c r="W26" s="27"/>
      <c r="X26" s="27"/>
      <c r="Y26" s="27"/>
      <c r="Z26" s="27"/>
      <c r="AA26" s="58">
        <f t="shared" si="1"/>
        <v>0</v>
      </c>
      <c r="AB26" s="11">
        <f t="shared" si="2"/>
        <v>38</v>
      </c>
    </row>
    <row r="27" spans="1:28">
      <c r="A27" s="37" t="s">
        <v>34</v>
      </c>
      <c r="B27" s="61" t="s">
        <v>35</v>
      </c>
      <c r="C27" s="62">
        <f>C29-C28</f>
        <v>778</v>
      </c>
      <c r="D27" s="41"/>
      <c r="E27" s="41"/>
      <c r="F27" s="41"/>
      <c r="G27" s="41"/>
      <c r="H27" s="41"/>
      <c r="I27" s="41"/>
      <c r="J27" s="41"/>
      <c r="K27" s="62">
        <f>K29-K28</f>
        <v>778</v>
      </c>
      <c r="L27" s="63"/>
      <c r="M27" s="64"/>
      <c r="N27" s="64"/>
      <c r="O27" s="65"/>
      <c r="P27" s="41"/>
      <c r="Q27" s="41"/>
      <c r="R27" s="66"/>
      <c r="S27" s="66"/>
      <c r="T27" s="40"/>
      <c r="U27" s="66"/>
      <c r="V27" s="66"/>
      <c r="W27" s="66"/>
      <c r="X27" s="66"/>
      <c r="Y27" s="66"/>
      <c r="Z27" s="66"/>
      <c r="AA27" s="66"/>
      <c r="AB27" s="62">
        <f>AB29-AB28</f>
        <v>778</v>
      </c>
    </row>
    <row r="28" spans="1:28">
      <c r="A28" s="37" t="s">
        <v>34</v>
      </c>
      <c r="B28" s="67" t="s">
        <v>36</v>
      </c>
      <c r="C28" s="62">
        <f>C26+C24+C25+C23+C22+C20+C19+C14+C12</f>
        <v>662</v>
      </c>
      <c r="D28" s="41"/>
      <c r="E28" s="41"/>
      <c r="F28" s="41"/>
      <c r="G28" s="41"/>
      <c r="H28" s="41"/>
      <c r="I28" s="41"/>
      <c r="J28" s="41"/>
      <c r="K28" s="62">
        <f>K26+K24+K25+K23+K22+K20+K19+K14+K12</f>
        <v>662</v>
      </c>
      <c r="L28" s="63"/>
      <c r="M28" s="64"/>
      <c r="N28" s="64"/>
      <c r="O28" s="65"/>
      <c r="P28" s="41"/>
      <c r="Q28" s="41"/>
      <c r="R28" s="66"/>
      <c r="S28" s="66"/>
      <c r="T28" s="40"/>
      <c r="U28" s="66"/>
      <c r="V28" s="66"/>
      <c r="W28" s="66"/>
      <c r="X28" s="66"/>
      <c r="Y28" s="66"/>
      <c r="Z28" s="66"/>
      <c r="AA28" s="66"/>
      <c r="AB28" s="62">
        <f>AB26+AB24+AB25+AB23+AB22+AB20+AB19+AB14+AB12</f>
        <v>662</v>
      </c>
    </row>
    <row r="29" spans="1:28">
      <c r="A29" s="49" t="s">
        <v>37</v>
      </c>
      <c r="B29" s="48"/>
      <c r="C29" s="47">
        <f t="shared" ref="C29:AB29" si="3">SUM(C8:C26)</f>
        <v>1440</v>
      </c>
      <c r="D29" s="47">
        <f t="shared" si="3"/>
        <v>0</v>
      </c>
      <c r="E29" s="47">
        <f t="shared" si="3"/>
        <v>0</v>
      </c>
      <c r="F29" s="47">
        <f t="shared" si="3"/>
        <v>0</v>
      </c>
      <c r="G29" s="47">
        <f t="shared" si="3"/>
        <v>0</v>
      </c>
      <c r="H29" s="47">
        <f t="shared" si="3"/>
        <v>0</v>
      </c>
      <c r="I29" s="47">
        <f t="shared" si="3"/>
        <v>0</v>
      </c>
      <c r="J29" s="47">
        <f t="shared" si="3"/>
        <v>0</v>
      </c>
      <c r="K29" s="47">
        <f t="shared" si="3"/>
        <v>1440</v>
      </c>
      <c r="L29" s="47">
        <f t="shared" si="3"/>
        <v>631</v>
      </c>
      <c r="M29" s="47">
        <f t="shared" si="3"/>
        <v>0</v>
      </c>
      <c r="N29" s="47">
        <f t="shared" si="3"/>
        <v>797</v>
      </c>
      <c r="O29" s="47">
        <f t="shared" si="3"/>
        <v>0</v>
      </c>
      <c r="P29" s="47">
        <f t="shared" si="3"/>
        <v>94</v>
      </c>
      <c r="Q29" s="47">
        <f t="shared" si="3"/>
        <v>148</v>
      </c>
      <c r="R29" s="47">
        <f t="shared" si="3"/>
        <v>168</v>
      </c>
      <c r="S29" s="47">
        <f t="shared" si="3"/>
        <v>130</v>
      </c>
      <c r="T29" s="47">
        <f t="shared" si="3"/>
        <v>540</v>
      </c>
      <c r="U29" s="47">
        <f t="shared" si="3"/>
        <v>126</v>
      </c>
      <c r="V29" s="47">
        <f t="shared" si="3"/>
        <v>128</v>
      </c>
      <c r="W29" s="47">
        <f t="shared" si="3"/>
        <v>146</v>
      </c>
      <c r="X29" s="47">
        <f t="shared" si="3"/>
        <v>138</v>
      </c>
      <c r="Y29" s="47">
        <f t="shared" si="3"/>
        <v>182</v>
      </c>
      <c r="Z29" s="47">
        <f t="shared" si="3"/>
        <v>180</v>
      </c>
      <c r="AA29" s="47">
        <f t="shared" si="3"/>
        <v>900</v>
      </c>
      <c r="AB29" s="47">
        <f t="shared" si="3"/>
        <v>1440</v>
      </c>
    </row>
    <row r="30" spans="1:28">
      <c r="A30" s="50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</row>
    <row r="31" spans="1:28">
      <c r="A31" s="6" t="s">
        <v>38</v>
      </c>
      <c r="B31" s="2"/>
      <c r="C31" s="2"/>
      <c r="D31" s="2"/>
      <c r="E31" s="2"/>
      <c r="F31" s="2"/>
      <c r="G31" s="2"/>
      <c r="H31" s="2"/>
      <c r="I31" s="2"/>
      <c r="J31" s="2"/>
      <c r="K31" s="6" t="s">
        <v>39</v>
      </c>
      <c r="L31" s="2"/>
      <c r="M31" s="2"/>
      <c r="N31" s="2"/>
      <c r="O31" s="2"/>
      <c r="P31" s="2"/>
      <c r="Q31" s="2"/>
      <c r="R31" s="2"/>
      <c r="S31" s="6" t="s">
        <v>40</v>
      </c>
      <c r="T31" s="2"/>
      <c r="U31" s="2"/>
      <c r="V31" s="7"/>
      <c r="W31" s="2"/>
      <c r="X31" s="2"/>
      <c r="Y31" s="2"/>
      <c r="Z31" s="2"/>
      <c r="AA31" s="2"/>
      <c r="AB31" s="2"/>
    </row>
    <row r="32" spans="1:28">
      <c r="A32" s="6" t="s">
        <v>41</v>
      </c>
      <c r="B32" s="2"/>
      <c r="C32" s="2"/>
      <c r="D32" s="2"/>
      <c r="E32" s="2"/>
      <c r="F32" s="2"/>
      <c r="G32" s="2"/>
      <c r="H32" s="2"/>
      <c r="I32" s="2"/>
      <c r="J32" s="2"/>
      <c r="K32" s="6" t="s">
        <v>42</v>
      </c>
      <c r="L32" s="2"/>
      <c r="M32" s="2"/>
      <c r="N32" s="2"/>
      <c r="O32" s="2"/>
      <c r="P32" s="2"/>
      <c r="Q32" s="2"/>
      <c r="R32" s="2"/>
      <c r="S32" s="6" t="s">
        <v>43</v>
      </c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 t="s">
        <v>44</v>
      </c>
      <c r="B33" s="2"/>
      <c r="C33" s="2"/>
      <c r="D33" s="2"/>
      <c r="E33" s="2"/>
      <c r="F33" s="2"/>
      <c r="G33" s="2"/>
      <c r="H33" s="2"/>
      <c r="I33" s="2"/>
      <c r="J33" s="2"/>
      <c r="K33" s="6" t="s">
        <v>45</v>
      </c>
      <c r="L33" s="2"/>
      <c r="M33" s="2"/>
      <c r="N33" s="2"/>
      <c r="O33" s="2"/>
      <c r="P33" s="2"/>
      <c r="Q33" s="2"/>
      <c r="R33" s="2"/>
      <c r="S33" s="6" t="s">
        <v>46</v>
      </c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2"/>
      <c r="B34" s="2"/>
      <c r="C34" s="6" t="s">
        <v>47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Q34" s="2"/>
      <c r="R34" s="2"/>
      <c r="S34" s="6" t="s">
        <v>48</v>
      </c>
      <c r="T34" s="2"/>
      <c r="U34" s="2"/>
      <c r="V34" s="2"/>
      <c r="W34" s="2"/>
      <c r="X34" s="2"/>
      <c r="Y34" s="2"/>
      <c r="Z34" s="2"/>
      <c r="AA34" s="2"/>
      <c r="AB34" s="2"/>
    </row>
    <row r="35" spans="1:28">
      <c r="A35" s="2"/>
      <c r="B35" s="2"/>
      <c r="C35" s="6" t="s">
        <v>49</v>
      </c>
      <c r="E35" s="2"/>
      <c r="F35" s="2"/>
      <c r="G35" s="2"/>
      <c r="H35" s="2"/>
      <c r="I35" s="2" t="s">
        <v>50</v>
      </c>
      <c r="K35" s="2"/>
      <c r="L35" s="2"/>
      <c r="M35" s="2"/>
      <c r="N35" s="2"/>
      <c r="O35" s="2"/>
      <c r="Q35" s="2"/>
      <c r="R35" s="2"/>
      <c r="S35" s="2" t="s">
        <v>51</v>
      </c>
      <c r="T35" s="2"/>
      <c r="U35" s="2"/>
      <c r="V35" s="2"/>
      <c r="W35" s="2"/>
      <c r="X35" s="2"/>
      <c r="Y35" s="2"/>
      <c r="AA35" s="2"/>
      <c r="AB35" s="2"/>
    </row>
    <row r="36" spans="1:28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Q36" s="2"/>
      <c r="R36" s="2"/>
      <c r="S36" s="6" t="s">
        <v>52</v>
      </c>
      <c r="T36" s="2"/>
      <c r="U36" s="2"/>
      <c r="V36" s="2"/>
      <c r="X36" s="2"/>
      <c r="Y36" s="2"/>
      <c r="AA36" s="2" t="s">
        <v>92</v>
      </c>
      <c r="AB36" s="2"/>
    </row>
  </sheetData>
  <mergeCells count="55">
    <mergeCell ref="AB29:AB30"/>
    <mergeCell ref="V29:V30"/>
    <mergeCell ref="W29:W30"/>
    <mergeCell ref="X29:X30"/>
    <mergeCell ref="Y29:Y30"/>
    <mergeCell ref="Z29:Z30"/>
    <mergeCell ref="AA29:AA30"/>
    <mergeCell ref="P29:P30"/>
    <mergeCell ref="Q29:Q30"/>
    <mergeCell ref="R29:R30"/>
    <mergeCell ref="S29:S30"/>
    <mergeCell ref="T29:T30"/>
    <mergeCell ref="U29:U30"/>
    <mergeCell ref="J29:J30"/>
    <mergeCell ref="K29:K30"/>
    <mergeCell ref="L29:L30"/>
    <mergeCell ref="M29:M30"/>
    <mergeCell ref="N29:N30"/>
    <mergeCell ref="O29:O30"/>
    <mergeCell ref="U6:Z6"/>
    <mergeCell ref="A29:A30"/>
    <mergeCell ref="B29:B30"/>
    <mergeCell ref="C29:C30"/>
    <mergeCell ref="D29:D30"/>
    <mergeCell ref="E29:E30"/>
    <mergeCell ref="F29:F30"/>
    <mergeCell ref="G29:G30"/>
    <mergeCell ref="H29:H30"/>
    <mergeCell ref="I29:I30"/>
    <mergeCell ref="G6:G7"/>
    <mergeCell ref="H6:H7"/>
    <mergeCell ref="I6:I7"/>
    <mergeCell ref="L6:M6"/>
    <mergeCell ref="N6:O6"/>
    <mergeCell ref="P6:S6"/>
    <mergeCell ref="AB4:AB7"/>
    <mergeCell ref="D5:D7"/>
    <mergeCell ref="E5:E7"/>
    <mergeCell ref="F5:F7"/>
    <mergeCell ref="G5:I5"/>
    <mergeCell ref="J5:J7"/>
    <mergeCell ref="P5:S5"/>
    <mergeCell ref="T5:T7"/>
    <mergeCell ref="U5:Z5"/>
    <mergeCell ref="AA5:AA7"/>
    <mergeCell ref="A1:AB1"/>
    <mergeCell ref="A3:AB3"/>
    <mergeCell ref="A4:A7"/>
    <mergeCell ref="B4:B7"/>
    <mergeCell ref="C4:C7"/>
    <mergeCell ref="D4:F4"/>
    <mergeCell ref="G4:J4"/>
    <mergeCell ref="K4:K7"/>
    <mergeCell ref="L4:O5"/>
    <mergeCell ref="P4:AA4"/>
  </mergeCells>
  <conditionalFormatting sqref="U8:Y8">
    <cfRule type="expression" dxfId="0" priority="1">
      <formula>"AF170*4"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7"/>
  <sheetViews>
    <sheetView workbookViewId="0">
      <selection activeCell="B34" sqref="B34"/>
    </sheetView>
  </sheetViews>
  <sheetFormatPr defaultRowHeight="15"/>
  <cols>
    <col min="1" max="1" width="39.42578125" customWidth="1"/>
    <col min="2" max="2" width="14.5703125" customWidth="1"/>
    <col min="3" max="3" width="7.140625" customWidth="1"/>
    <col min="4" max="6" width="5.28515625" customWidth="1"/>
    <col min="7" max="9" width="5.85546875" customWidth="1"/>
    <col min="10" max="10" width="5" customWidth="1"/>
    <col min="11" max="11" width="7.140625" customWidth="1"/>
    <col min="12" max="15" width="5.42578125" customWidth="1"/>
    <col min="16" max="19" width="6" customWidth="1"/>
    <col min="20" max="20" width="6.140625" customWidth="1"/>
    <col min="21" max="26" width="5.7109375" customWidth="1"/>
    <col min="27" max="27" width="7" customWidth="1"/>
    <col min="28" max="28" width="11.140625" customWidth="1"/>
  </cols>
  <sheetData>
    <row r="1" spans="1:28" ht="18.7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>
      <c r="A2" s="38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5.75">
      <c r="A3" s="43" t="s">
        <v>93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 ht="15" customHeight="1">
      <c r="A4" s="68" t="s">
        <v>1</v>
      </c>
      <c r="B4" s="68" t="s">
        <v>2</v>
      </c>
      <c r="C4" s="69" t="s">
        <v>3</v>
      </c>
      <c r="D4" s="70" t="s">
        <v>4</v>
      </c>
      <c r="E4" s="71"/>
      <c r="F4" s="72"/>
      <c r="G4" s="70" t="s">
        <v>5</v>
      </c>
      <c r="H4" s="71"/>
      <c r="I4" s="71"/>
      <c r="J4" s="72"/>
      <c r="K4" s="69" t="s">
        <v>6</v>
      </c>
      <c r="L4" s="73" t="s">
        <v>7</v>
      </c>
      <c r="M4" s="74"/>
      <c r="N4" s="74"/>
      <c r="O4" s="75"/>
      <c r="P4" s="70" t="s">
        <v>8</v>
      </c>
      <c r="Q4" s="71"/>
      <c r="R4" s="71"/>
      <c r="S4" s="71"/>
      <c r="T4" s="71"/>
      <c r="U4" s="71"/>
      <c r="V4" s="71"/>
      <c r="W4" s="71"/>
      <c r="X4" s="71"/>
      <c r="Y4" s="71"/>
      <c r="Z4" s="71"/>
      <c r="AA4" s="72"/>
      <c r="AB4" s="68" t="s">
        <v>9</v>
      </c>
    </row>
    <row r="5" spans="1:28" ht="20.25" customHeight="1">
      <c r="A5" s="76"/>
      <c r="B5" s="76"/>
      <c r="C5" s="77"/>
      <c r="D5" s="69" t="s">
        <v>10</v>
      </c>
      <c r="E5" s="69" t="s">
        <v>11</v>
      </c>
      <c r="F5" s="69" t="s">
        <v>94</v>
      </c>
      <c r="G5" s="70" t="s">
        <v>12</v>
      </c>
      <c r="H5" s="71"/>
      <c r="I5" s="72"/>
      <c r="J5" s="69" t="s">
        <v>13</v>
      </c>
      <c r="K5" s="77"/>
      <c r="L5" s="78"/>
      <c r="M5" s="79"/>
      <c r="N5" s="79"/>
      <c r="O5" s="80"/>
      <c r="P5" s="70" t="s">
        <v>14</v>
      </c>
      <c r="Q5" s="71"/>
      <c r="R5" s="71"/>
      <c r="S5" s="72"/>
      <c r="T5" s="69" t="s">
        <v>15</v>
      </c>
      <c r="U5" s="70" t="s">
        <v>16</v>
      </c>
      <c r="V5" s="71"/>
      <c r="W5" s="71"/>
      <c r="X5" s="71"/>
      <c r="Y5" s="71"/>
      <c r="Z5" s="72"/>
      <c r="AA5" s="69" t="s">
        <v>15</v>
      </c>
      <c r="AB5" s="76"/>
    </row>
    <row r="6" spans="1:28" ht="15" customHeight="1">
      <c r="A6" s="76"/>
      <c r="B6" s="76"/>
      <c r="C6" s="77"/>
      <c r="D6" s="77"/>
      <c r="E6" s="77"/>
      <c r="F6" s="77"/>
      <c r="G6" s="69" t="s">
        <v>11</v>
      </c>
      <c r="H6" s="69" t="s">
        <v>17</v>
      </c>
      <c r="I6" s="69" t="s">
        <v>18</v>
      </c>
      <c r="J6" s="77"/>
      <c r="K6" s="77"/>
      <c r="L6" s="70" t="s">
        <v>19</v>
      </c>
      <c r="M6" s="72"/>
      <c r="N6" s="70" t="s">
        <v>20</v>
      </c>
      <c r="O6" s="72"/>
      <c r="P6" s="70" t="s">
        <v>21</v>
      </c>
      <c r="Q6" s="71"/>
      <c r="R6" s="71"/>
      <c r="S6" s="72"/>
      <c r="T6" s="77"/>
      <c r="U6" s="70" t="s">
        <v>21</v>
      </c>
      <c r="V6" s="71"/>
      <c r="W6" s="71"/>
      <c r="X6" s="71"/>
      <c r="Y6" s="71"/>
      <c r="Z6" s="72"/>
      <c r="AA6" s="77"/>
      <c r="AB6" s="76"/>
    </row>
    <row r="7" spans="1:28" ht="39.75">
      <c r="A7" s="81"/>
      <c r="B7" s="81"/>
      <c r="C7" s="82"/>
      <c r="D7" s="82"/>
      <c r="E7" s="82"/>
      <c r="F7" s="82"/>
      <c r="G7" s="82"/>
      <c r="H7" s="82"/>
      <c r="I7" s="82"/>
      <c r="J7" s="82"/>
      <c r="K7" s="82"/>
      <c r="L7" s="53" t="s">
        <v>22</v>
      </c>
      <c r="M7" s="53" t="s">
        <v>23</v>
      </c>
      <c r="N7" s="53" t="s">
        <v>22</v>
      </c>
      <c r="O7" s="53" t="s">
        <v>23</v>
      </c>
      <c r="P7" s="53" t="s">
        <v>24</v>
      </c>
      <c r="Q7" s="53" t="s">
        <v>25</v>
      </c>
      <c r="R7" s="53" t="s">
        <v>26</v>
      </c>
      <c r="S7" s="53" t="s">
        <v>27</v>
      </c>
      <c r="T7" s="82"/>
      <c r="U7" s="53" t="s">
        <v>28</v>
      </c>
      <c r="V7" s="53" t="s">
        <v>29</v>
      </c>
      <c r="W7" s="53" t="s">
        <v>30</v>
      </c>
      <c r="X7" s="53" t="s">
        <v>31</v>
      </c>
      <c r="Y7" s="53" t="s">
        <v>32</v>
      </c>
      <c r="Z7" s="53" t="s">
        <v>33</v>
      </c>
      <c r="AA7" s="82"/>
      <c r="AB7" s="81"/>
    </row>
    <row r="8" spans="1:28" ht="38.25">
      <c r="A8" s="83" t="s">
        <v>95</v>
      </c>
      <c r="B8" s="84" t="s">
        <v>96</v>
      </c>
      <c r="C8" s="85">
        <v>70</v>
      </c>
      <c r="D8" s="86"/>
      <c r="E8" s="86"/>
      <c r="F8" s="86"/>
      <c r="G8" s="86"/>
      <c r="H8" s="86"/>
      <c r="I8" s="86"/>
      <c r="J8" s="86"/>
      <c r="K8" s="85">
        <v>70</v>
      </c>
      <c r="L8" s="87"/>
      <c r="M8" s="86"/>
      <c r="N8" s="87">
        <v>64</v>
      </c>
      <c r="O8" s="86"/>
      <c r="P8" s="88"/>
      <c r="Q8" s="88"/>
      <c r="R8" s="88"/>
      <c r="S8" s="88"/>
      <c r="T8" s="84"/>
      <c r="U8" s="84">
        <v>32</v>
      </c>
      <c r="V8" s="84">
        <v>30</v>
      </c>
      <c r="W8" s="84">
        <v>8</v>
      </c>
      <c r="X8" s="84"/>
      <c r="Y8" s="84"/>
      <c r="Z8" s="84"/>
      <c r="AA8" s="84">
        <f>SUM(U8:Z8)</f>
        <v>70</v>
      </c>
      <c r="AB8" s="84">
        <f>T8+AA8</f>
        <v>70</v>
      </c>
    </row>
    <row r="9" spans="1:28" ht="38.25">
      <c r="A9" s="83" t="s">
        <v>97</v>
      </c>
      <c r="B9" s="84" t="s">
        <v>96</v>
      </c>
      <c r="C9" s="85">
        <v>63</v>
      </c>
      <c r="D9" s="86"/>
      <c r="E9" s="86"/>
      <c r="F9" s="86"/>
      <c r="G9" s="86"/>
      <c r="H9" s="86"/>
      <c r="I9" s="86"/>
      <c r="J9" s="86"/>
      <c r="K9" s="85">
        <v>63</v>
      </c>
      <c r="L9" s="87">
        <v>63</v>
      </c>
      <c r="M9" s="86"/>
      <c r="N9" s="87"/>
      <c r="O9" s="86"/>
      <c r="P9" s="89">
        <v>20</v>
      </c>
      <c r="Q9" s="89">
        <v>26</v>
      </c>
      <c r="R9" s="89">
        <v>16</v>
      </c>
      <c r="S9" s="89">
        <v>1</v>
      </c>
      <c r="T9" s="84">
        <f t="shared" ref="T9:T16" si="0">SUM(P9:S9)</f>
        <v>63</v>
      </c>
      <c r="U9" s="84"/>
      <c r="V9" s="84"/>
      <c r="W9" s="84"/>
      <c r="X9" s="84"/>
      <c r="Y9" s="84"/>
      <c r="Z9" s="84"/>
      <c r="AA9" s="84">
        <f t="shared" ref="AA9:AA24" si="1">SUM(U9:Z9)</f>
        <v>0</v>
      </c>
      <c r="AB9" s="84">
        <f t="shared" ref="AB9:AB24" si="2">T9+AA9</f>
        <v>63</v>
      </c>
    </row>
    <row r="10" spans="1:28">
      <c r="A10" s="83" t="s">
        <v>98</v>
      </c>
      <c r="B10" s="84" t="s">
        <v>96</v>
      </c>
      <c r="C10" s="85">
        <v>7.5900000000000007</v>
      </c>
      <c r="D10" s="86"/>
      <c r="E10" s="86"/>
      <c r="F10" s="86"/>
      <c r="G10" s="86"/>
      <c r="H10" s="86"/>
      <c r="I10" s="86"/>
      <c r="J10" s="86"/>
      <c r="K10" s="85">
        <v>7.5900000000000007</v>
      </c>
      <c r="L10" s="87"/>
      <c r="M10" s="86"/>
      <c r="N10" s="87"/>
      <c r="O10" s="86"/>
      <c r="P10" s="88"/>
      <c r="Q10" s="88"/>
      <c r="R10" s="88"/>
      <c r="S10" s="88"/>
      <c r="T10" s="84"/>
      <c r="U10" s="84"/>
      <c r="V10" s="84"/>
      <c r="W10" s="84"/>
      <c r="X10" s="84"/>
      <c r="Y10" s="84"/>
      <c r="Z10" s="85">
        <v>7.5900000000000007</v>
      </c>
      <c r="AA10" s="84">
        <f t="shared" si="1"/>
        <v>7.5900000000000007</v>
      </c>
      <c r="AB10" s="84">
        <f t="shared" si="2"/>
        <v>7.5900000000000007</v>
      </c>
    </row>
    <row r="11" spans="1:28" ht="25.5">
      <c r="A11" s="83" t="s">
        <v>99</v>
      </c>
      <c r="B11" s="84" t="s">
        <v>100</v>
      </c>
      <c r="C11" s="85">
        <v>26</v>
      </c>
      <c r="D11" s="86"/>
      <c r="E11" s="86"/>
      <c r="F11" s="86"/>
      <c r="G11" s="86"/>
      <c r="H11" s="86"/>
      <c r="I11" s="86"/>
      <c r="J11" s="86"/>
      <c r="K11" s="85">
        <v>26</v>
      </c>
      <c r="L11" s="87">
        <v>24</v>
      </c>
      <c r="M11" s="86"/>
      <c r="N11" s="87"/>
      <c r="O11" s="86"/>
      <c r="P11" s="89"/>
      <c r="Q11" s="89"/>
      <c r="R11" s="89"/>
      <c r="S11" s="89"/>
      <c r="T11" s="84"/>
      <c r="U11" s="84">
        <v>8</v>
      </c>
      <c r="V11" s="84">
        <v>8</v>
      </c>
      <c r="W11" s="84">
        <v>0</v>
      </c>
      <c r="X11" s="84">
        <v>0</v>
      </c>
      <c r="Y11" s="84">
        <v>10</v>
      </c>
      <c r="Z11" s="84"/>
      <c r="AA11" s="84">
        <f t="shared" si="1"/>
        <v>26</v>
      </c>
      <c r="AB11" s="84">
        <f t="shared" si="2"/>
        <v>26</v>
      </c>
    </row>
    <row r="12" spans="1:28" ht="25.5">
      <c r="A12" s="83" t="s">
        <v>99</v>
      </c>
      <c r="B12" s="84" t="s">
        <v>101</v>
      </c>
      <c r="C12" s="85">
        <v>18</v>
      </c>
      <c r="D12" s="86"/>
      <c r="E12" s="86"/>
      <c r="F12" s="86"/>
      <c r="G12" s="86"/>
      <c r="H12" s="86"/>
      <c r="I12" s="86"/>
      <c r="J12" s="86"/>
      <c r="K12" s="85">
        <v>18</v>
      </c>
      <c r="L12" s="87"/>
      <c r="M12" s="86"/>
      <c r="N12" s="87">
        <v>18</v>
      </c>
      <c r="O12" s="86"/>
      <c r="P12" s="89"/>
      <c r="Q12" s="89"/>
      <c r="R12" s="88"/>
      <c r="S12" s="88"/>
      <c r="T12" s="84"/>
      <c r="U12" s="84">
        <v>0</v>
      </c>
      <c r="V12" s="84"/>
      <c r="W12" s="84"/>
      <c r="X12" s="84"/>
      <c r="Y12" s="84">
        <v>18</v>
      </c>
      <c r="Z12" s="84"/>
      <c r="AA12" s="84">
        <f t="shared" si="1"/>
        <v>18</v>
      </c>
      <c r="AB12" s="84">
        <f t="shared" si="2"/>
        <v>18</v>
      </c>
    </row>
    <row r="13" spans="1:28" ht="25.5">
      <c r="A13" s="83" t="s">
        <v>99</v>
      </c>
      <c r="B13" s="84" t="s">
        <v>102</v>
      </c>
      <c r="C13" s="85">
        <v>22</v>
      </c>
      <c r="D13" s="86"/>
      <c r="E13" s="86"/>
      <c r="F13" s="86"/>
      <c r="G13" s="86"/>
      <c r="H13" s="86"/>
      <c r="I13" s="86"/>
      <c r="J13" s="86"/>
      <c r="K13" s="85">
        <v>22</v>
      </c>
      <c r="L13" s="87"/>
      <c r="M13" s="86"/>
      <c r="N13" s="87">
        <v>22</v>
      </c>
      <c r="O13" s="86"/>
      <c r="P13" s="89"/>
      <c r="Q13" s="89"/>
      <c r="R13" s="88"/>
      <c r="S13" s="88"/>
      <c r="T13" s="84"/>
      <c r="U13" s="84">
        <v>0</v>
      </c>
      <c r="V13" s="84">
        <v>0</v>
      </c>
      <c r="W13" s="84">
        <v>0</v>
      </c>
      <c r="X13" s="84">
        <v>0</v>
      </c>
      <c r="Y13" s="84">
        <v>22</v>
      </c>
      <c r="Z13" s="84"/>
      <c r="AA13" s="84">
        <f t="shared" si="1"/>
        <v>22</v>
      </c>
      <c r="AB13" s="84">
        <f t="shared" si="2"/>
        <v>22</v>
      </c>
    </row>
    <row r="14" spans="1:28" ht="25.5">
      <c r="A14" s="83" t="s">
        <v>103</v>
      </c>
      <c r="B14" s="84" t="s">
        <v>104</v>
      </c>
      <c r="C14" s="85">
        <v>52</v>
      </c>
      <c r="D14" s="86"/>
      <c r="E14" s="86"/>
      <c r="F14" s="86"/>
      <c r="G14" s="86"/>
      <c r="H14" s="86"/>
      <c r="I14" s="86"/>
      <c r="J14" s="86"/>
      <c r="K14" s="85">
        <v>52</v>
      </c>
      <c r="L14" s="87">
        <v>44</v>
      </c>
      <c r="M14" s="86"/>
      <c r="N14" s="87"/>
      <c r="O14" s="86"/>
      <c r="P14" s="89">
        <v>6</v>
      </c>
      <c r="Q14" s="89">
        <v>16</v>
      </c>
      <c r="R14" s="89">
        <v>8</v>
      </c>
      <c r="S14" s="89">
        <v>0</v>
      </c>
      <c r="T14" s="84">
        <f t="shared" si="0"/>
        <v>30</v>
      </c>
      <c r="U14" s="84">
        <v>8</v>
      </c>
      <c r="V14" s="84">
        <v>6</v>
      </c>
      <c r="W14" s="84">
        <v>8</v>
      </c>
      <c r="X14" s="84"/>
      <c r="Y14" s="84"/>
      <c r="Z14" s="84"/>
      <c r="AA14" s="84">
        <f t="shared" si="1"/>
        <v>22</v>
      </c>
      <c r="AB14" s="84">
        <f t="shared" si="2"/>
        <v>52</v>
      </c>
    </row>
    <row r="15" spans="1:28">
      <c r="A15" s="83" t="s">
        <v>105</v>
      </c>
      <c r="B15" s="84" t="s">
        <v>104</v>
      </c>
      <c r="C15" s="85">
        <v>4.95</v>
      </c>
      <c r="D15" s="86"/>
      <c r="E15" s="86"/>
      <c r="F15" s="86"/>
      <c r="G15" s="86"/>
      <c r="H15" s="86"/>
      <c r="I15" s="86"/>
      <c r="J15" s="86"/>
      <c r="K15" s="85">
        <v>4.95</v>
      </c>
      <c r="L15" s="87"/>
      <c r="M15" s="86"/>
      <c r="N15" s="87"/>
      <c r="O15" s="86"/>
      <c r="P15" s="88"/>
      <c r="Q15" s="88"/>
      <c r="R15" s="88"/>
      <c r="S15" s="88"/>
      <c r="T15" s="84"/>
      <c r="U15" s="84"/>
      <c r="V15" s="84"/>
      <c r="W15" s="84"/>
      <c r="X15" s="84"/>
      <c r="Y15" s="84"/>
      <c r="Z15" s="85">
        <v>4.95</v>
      </c>
      <c r="AA15" s="84">
        <f t="shared" si="1"/>
        <v>4.95</v>
      </c>
      <c r="AB15" s="84">
        <f t="shared" si="2"/>
        <v>4.95</v>
      </c>
    </row>
    <row r="16" spans="1:28" ht="25.5">
      <c r="A16" s="83" t="s">
        <v>103</v>
      </c>
      <c r="B16" s="84" t="s">
        <v>106</v>
      </c>
      <c r="C16" s="85">
        <v>96</v>
      </c>
      <c r="D16" s="86"/>
      <c r="E16" s="86"/>
      <c r="F16" s="86"/>
      <c r="G16" s="86"/>
      <c r="H16" s="86"/>
      <c r="I16" s="86"/>
      <c r="J16" s="86"/>
      <c r="K16" s="85">
        <v>96</v>
      </c>
      <c r="L16" s="87">
        <v>86</v>
      </c>
      <c r="M16" s="86"/>
      <c r="N16" s="87"/>
      <c r="O16" s="86"/>
      <c r="P16" s="89">
        <v>8</v>
      </c>
      <c r="Q16" s="89">
        <v>16</v>
      </c>
      <c r="R16" s="89">
        <v>22</v>
      </c>
      <c r="S16" s="89">
        <v>20</v>
      </c>
      <c r="T16" s="84">
        <f t="shared" si="0"/>
        <v>66</v>
      </c>
      <c r="U16" s="84">
        <v>30</v>
      </c>
      <c r="V16" s="84"/>
      <c r="W16" s="84"/>
      <c r="X16" s="84"/>
      <c r="Y16" s="84"/>
      <c r="Z16" s="84"/>
      <c r="AA16" s="84">
        <f t="shared" si="1"/>
        <v>30</v>
      </c>
      <c r="AB16" s="84">
        <f t="shared" si="2"/>
        <v>96</v>
      </c>
    </row>
    <row r="17" spans="1:28" ht="38.25">
      <c r="A17" s="83" t="s">
        <v>107</v>
      </c>
      <c r="B17" s="84" t="s">
        <v>106</v>
      </c>
      <c r="C17" s="85">
        <v>26</v>
      </c>
      <c r="D17" s="86"/>
      <c r="E17" s="86"/>
      <c r="F17" s="86"/>
      <c r="G17" s="86"/>
      <c r="H17" s="86"/>
      <c r="I17" s="86"/>
      <c r="J17" s="86"/>
      <c r="K17" s="85">
        <v>26</v>
      </c>
      <c r="L17" s="87">
        <v>14</v>
      </c>
      <c r="M17" s="86"/>
      <c r="N17" s="87"/>
      <c r="O17" s="86"/>
      <c r="P17" s="89"/>
      <c r="Q17" s="89"/>
      <c r="R17" s="89"/>
      <c r="S17" s="88"/>
      <c r="T17" s="84"/>
      <c r="U17" s="84">
        <v>26</v>
      </c>
      <c r="V17" s="84"/>
      <c r="W17" s="84"/>
      <c r="X17" s="84"/>
      <c r="Y17" s="84"/>
      <c r="Z17" s="84"/>
      <c r="AA17" s="84">
        <f t="shared" si="1"/>
        <v>26</v>
      </c>
      <c r="AB17" s="84">
        <f t="shared" si="2"/>
        <v>26</v>
      </c>
    </row>
    <row r="18" spans="1:28">
      <c r="A18" s="83" t="s">
        <v>105</v>
      </c>
      <c r="B18" s="84" t="s">
        <v>106</v>
      </c>
      <c r="C18" s="85">
        <v>6.2700000000000005</v>
      </c>
      <c r="D18" s="86"/>
      <c r="E18" s="86"/>
      <c r="F18" s="86"/>
      <c r="G18" s="86"/>
      <c r="H18" s="86"/>
      <c r="I18" s="86"/>
      <c r="J18" s="86"/>
      <c r="K18" s="85">
        <v>6.2700000000000005</v>
      </c>
      <c r="L18" s="87"/>
      <c r="M18" s="86"/>
      <c r="N18" s="87"/>
      <c r="O18" s="86"/>
      <c r="P18" s="88"/>
      <c r="Q18" s="88"/>
      <c r="R18" s="88"/>
      <c r="S18" s="88"/>
      <c r="T18" s="84"/>
      <c r="U18" s="84"/>
      <c r="V18" s="84"/>
      <c r="W18" s="84"/>
      <c r="X18" s="84"/>
      <c r="Y18" s="85">
        <v>6.2700000000000005</v>
      </c>
      <c r="Z18" s="84"/>
      <c r="AA18" s="84">
        <f t="shared" si="1"/>
        <v>6.2700000000000005</v>
      </c>
      <c r="AB18" s="84">
        <f t="shared" si="2"/>
        <v>6.2700000000000005</v>
      </c>
    </row>
    <row r="19" spans="1:28">
      <c r="A19" s="83" t="s">
        <v>108</v>
      </c>
      <c r="B19" s="84" t="s">
        <v>106</v>
      </c>
      <c r="C19" s="85">
        <v>16</v>
      </c>
      <c r="D19" s="90"/>
      <c r="E19" s="90"/>
      <c r="F19" s="91"/>
      <c r="G19" s="90"/>
      <c r="H19" s="83"/>
      <c r="I19" s="90"/>
      <c r="J19" s="90"/>
      <c r="K19" s="85">
        <v>16</v>
      </c>
      <c r="L19" s="87"/>
      <c r="M19" s="92"/>
      <c r="N19" s="87">
        <v>144</v>
      </c>
      <c r="O19" s="93"/>
      <c r="P19" s="88"/>
      <c r="Q19" s="88"/>
      <c r="R19" s="88"/>
      <c r="S19" s="88"/>
      <c r="T19" s="84"/>
      <c r="U19" s="84"/>
      <c r="V19" s="84"/>
      <c r="W19" s="84"/>
      <c r="X19" s="84"/>
      <c r="Y19" s="85">
        <v>16</v>
      </c>
      <c r="Z19" s="84"/>
      <c r="AA19" s="84">
        <f t="shared" si="1"/>
        <v>16</v>
      </c>
      <c r="AB19" s="84">
        <f t="shared" si="2"/>
        <v>16</v>
      </c>
    </row>
    <row r="20" spans="1:28">
      <c r="A20" s="83" t="s">
        <v>109</v>
      </c>
      <c r="B20" s="84" t="s">
        <v>106</v>
      </c>
      <c r="C20" s="85">
        <v>12</v>
      </c>
      <c r="D20" s="90"/>
      <c r="E20" s="90"/>
      <c r="F20" s="91"/>
      <c r="G20" s="90"/>
      <c r="H20" s="83"/>
      <c r="I20" s="90"/>
      <c r="J20" s="90"/>
      <c r="K20" s="85">
        <v>12</v>
      </c>
      <c r="L20" s="87"/>
      <c r="M20" s="92"/>
      <c r="N20" s="87">
        <v>144</v>
      </c>
      <c r="O20" s="93"/>
      <c r="P20" s="88"/>
      <c r="Q20" s="88"/>
      <c r="R20" s="88"/>
      <c r="S20" s="88"/>
      <c r="T20" s="84"/>
      <c r="U20" s="84"/>
      <c r="V20" s="84"/>
      <c r="W20" s="84"/>
      <c r="X20" s="84"/>
      <c r="Y20" s="85">
        <v>12</v>
      </c>
      <c r="Z20" s="84"/>
      <c r="AA20" s="84">
        <f t="shared" si="1"/>
        <v>12</v>
      </c>
      <c r="AB20" s="84">
        <f t="shared" si="2"/>
        <v>12</v>
      </c>
    </row>
    <row r="21" spans="1:28">
      <c r="A21" s="83" t="s">
        <v>109</v>
      </c>
      <c r="B21" s="84" t="s">
        <v>106</v>
      </c>
      <c r="C21" s="85">
        <v>12</v>
      </c>
      <c r="D21" s="90"/>
      <c r="E21" s="90"/>
      <c r="F21" s="91"/>
      <c r="G21" s="90"/>
      <c r="H21" s="83"/>
      <c r="I21" s="90"/>
      <c r="J21" s="90"/>
      <c r="K21" s="85">
        <v>12</v>
      </c>
      <c r="L21" s="87"/>
      <c r="M21" s="92"/>
      <c r="N21" s="87">
        <v>216</v>
      </c>
      <c r="O21" s="93"/>
      <c r="P21" s="88"/>
      <c r="Q21" s="88"/>
      <c r="R21" s="88"/>
      <c r="S21" s="88"/>
      <c r="T21" s="84"/>
      <c r="U21" s="84"/>
      <c r="V21" s="84"/>
      <c r="W21" s="84"/>
      <c r="X21" s="84"/>
      <c r="Y21" s="85">
        <v>12</v>
      </c>
      <c r="Z21" s="84"/>
      <c r="AA21" s="84">
        <f t="shared" si="1"/>
        <v>12</v>
      </c>
      <c r="AB21" s="84">
        <f t="shared" si="2"/>
        <v>12</v>
      </c>
    </row>
    <row r="22" spans="1:28">
      <c r="A22" s="83" t="s">
        <v>109</v>
      </c>
      <c r="B22" s="84" t="s">
        <v>106</v>
      </c>
      <c r="C22" s="85">
        <v>16</v>
      </c>
      <c r="D22" s="90"/>
      <c r="E22" s="90"/>
      <c r="F22" s="91"/>
      <c r="G22" s="90"/>
      <c r="H22" s="83"/>
      <c r="I22" s="91"/>
      <c r="J22" s="84"/>
      <c r="K22" s="85">
        <v>16</v>
      </c>
      <c r="L22" s="87"/>
      <c r="M22" s="92"/>
      <c r="N22" s="87">
        <v>210</v>
      </c>
      <c r="O22" s="93"/>
      <c r="P22" s="88"/>
      <c r="Q22" s="88"/>
      <c r="R22" s="88"/>
      <c r="S22" s="88"/>
      <c r="T22" s="84"/>
      <c r="U22" s="84"/>
      <c r="V22" s="84"/>
      <c r="W22" s="84"/>
      <c r="X22" s="84"/>
      <c r="Y22" s="85">
        <v>16</v>
      </c>
      <c r="Z22" s="84"/>
      <c r="AA22" s="84">
        <f t="shared" si="1"/>
        <v>16</v>
      </c>
      <c r="AB22" s="84">
        <f t="shared" si="2"/>
        <v>16</v>
      </c>
    </row>
    <row r="23" spans="1:28">
      <c r="A23" s="83" t="s">
        <v>105</v>
      </c>
      <c r="B23" s="84" t="s">
        <v>91</v>
      </c>
      <c r="C23" s="85">
        <v>5.61</v>
      </c>
      <c r="D23" s="90"/>
      <c r="E23" s="90"/>
      <c r="F23" s="91"/>
      <c r="G23" s="90"/>
      <c r="H23" s="83"/>
      <c r="I23" s="91"/>
      <c r="J23" s="84"/>
      <c r="K23" s="85">
        <v>5.61</v>
      </c>
      <c r="L23" s="87"/>
      <c r="M23" s="92"/>
      <c r="N23" s="87"/>
      <c r="O23" s="93"/>
      <c r="P23" s="88"/>
      <c r="Q23" s="88"/>
      <c r="R23" s="88"/>
      <c r="S23" s="88"/>
      <c r="T23" s="84"/>
      <c r="U23" s="84"/>
      <c r="V23" s="84"/>
      <c r="W23" s="84"/>
      <c r="X23" s="84"/>
      <c r="Y23" s="85">
        <v>5.61</v>
      </c>
      <c r="Z23" s="84"/>
      <c r="AA23" s="84">
        <f t="shared" si="1"/>
        <v>5.61</v>
      </c>
      <c r="AB23" s="84">
        <f t="shared" si="2"/>
        <v>5.61</v>
      </c>
    </row>
    <row r="24" spans="1:28">
      <c r="A24" s="83" t="s">
        <v>105</v>
      </c>
      <c r="B24" s="84" t="s">
        <v>110</v>
      </c>
      <c r="C24" s="85">
        <v>4.95</v>
      </c>
      <c r="D24" s="90"/>
      <c r="E24" s="90"/>
      <c r="F24" s="91"/>
      <c r="G24" s="90"/>
      <c r="H24" s="83"/>
      <c r="I24" s="91"/>
      <c r="J24" s="84"/>
      <c r="K24" s="85">
        <v>4.95</v>
      </c>
      <c r="L24" s="87"/>
      <c r="M24" s="92"/>
      <c r="N24" s="87"/>
      <c r="O24" s="93"/>
      <c r="P24" s="88"/>
      <c r="Q24" s="88"/>
      <c r="R24" s="88"/>
      <c r="S24" s="88"/>
      <c r="T24" s="84"/>
      <c r="U24" s="84"/>
      <c r="V24" s="84"/>
      <c r="W24" s="84"/>
      <c r="X24" s="84"/>
      <c r="Y24" s="85">
        <v>4.95</v>
      </c>
      <c r="Z24" s="84"/>
      <c r="AA24" s="84">
        <f t="shared" si="1"/>
        <v>4.95</v>
      </c>
      <c r="AB24" s="84">
        <f t="shared" si="2"/>
        <v>4.95</v>
      </c>
    </row>
    <row r="25" spans="1:28">
      <c r="A25" s="37" t="s">
        <v>34</v>
      </c>
      <c r="B25" s="94" t="s">
        <v>35</v>
      </c>
      <c r="C25" s="16">
        <v>0</v>
      </c>
      <c r="D25" s="95"/>
      <c r="E25" s="95"/>
      <c r="F25" s="95"/>
      <c r="G25" s="95"/>
      <c r="H25" s="95"/>
      <c r="I25" s="95"/>
      <c r="J25" s="95"/>
      <c r="K25" s="16">
        <v>0</v>
      </c>
      <c r="L25" s="16">
        <v>0</v>
      </c>
      <c r="M25" s="96"/>
      <c r="N25" s="96"/>
      <c r="O25" s="97"/>
      <c r="P25" s="95"/>
      <c r="Q25" s="95"/>
      <c r="R25" s="98"/>
      <c r="S25" s="98"/>
      <c r="T25" s="99"/>
      <c r="U25" s="98"/>
      <c r="V25" s="98"/>
      <c r="W25" s="98"/>
      <c r="X25" s="98"/>
      <c r="Y25" s="98"/>
      <c r="Z25" s="98"/>
      <c r="AA25" s="98"/>
      <c r="AB25" s="16">
        <v>0</v>
      </c>
    </row>
    <row r="26" spans="1:28">
      <c r="A26" s="37" t="s">
        <v>34</v>
      </c>
      <c r="B26" s="19" t="s">
        <v>36</v>
      </c>
      <c r="C26" s="100">
        <f>C27-C25</f>
        <v>458.37</v>
      </c>
      <c r="D26" s="41"/>
      <c r="E26" s="41"/>
      <c r="F26" s="41"/>
      <c r="G26" s="41"/>
      <c r="H26" s="41"/>
      <c r="I26" s="41"/>
      <c r="J26" s="41"/>
      <c r="K26" s="100">
        <f t="shared" ref="K26:L26" si="3">K27-K25</f>
        <v>458.37</v>
      </c>
      <c r="L26" s="100">
        <f t="shared" si="3"/>
        <v>231</v>
      </c>
      <c r="M26" s="64"/>
      <c r="N26" s="64"/>
      <c r="O26" s="65"/>
      <c r="P26" s="41"/>
      <c r="Q26" s="41"/>
      <c r="R26" s="66"/>
      <c r="S26" s="66"/>
      <c r="T26" s="40"/>
      <c r="U26" s="66"/>
      <c r="V26" s="66"/>
      <c r="W26" s="66"/>
      <c r="X26" s="66"/>
      <c r="Y26" s="66"/>
      <c r="Z26" s="66"/>
      <c r="AA26" s="66"/>
      <c r="AB26" s="100">
        <f>AB27-AB25</f>
        <v>458.37</v>
      </c>
    </row>
    <row r="27" spans="1:28">
      <c r="A27" s="49" t="s">
        <v>37</v>
      </c>
      <c r="B27" s="49"/>
      <c r="C27" s="101">
        <f>SUM(C8:C24)</f>
        <v>458.37</v>
      </c>
      <c r="D27" s="102">
        <f t="shared" ref="D27:J27" si="4">SUM(D19:D24)</f>
        <v>0</v>
      </c>
      <c r="E27" s="102">
        <f t="shared" si="4"/>
        <v>0</v>
      </c>
      <c r="F27" s="102">
        <f t="shared" si="4"/>
        <v>0</v>
      </c>
      <c r="G27" s="102">
        <f t="shared" si="4"/>
        <v>0</v>
      </c>
      <c r="H27" s="102">
        <f t="shared" si="4"/>
        <v>0</v>
      </c>
      <c r="I27" s="102">
        <f t="shared" si="4"/>
        <v>0</v>
      </c>
      <c r="J27" s="102">
        <f t="shared" si="4"/>
        <v>0</v>
      </c>
      <c r="K27" s="101">
        <f t="shared" ref="K27:L27" si="5">SUM(K8:K24)</f>
        <v>458.37</v>
      </c>
      <c r="L27" s="101">
        <f t="shared" si="5"/>
        <v>231</v>
      </c>
      <c r="M27" s="102">
        <f t="shared" ref="M27:AA27" si="6">SUM(M19:M24)</f>
        <v>0</v>
      </c>
      <c r="N27" s="102">
        <f t="shared" si="6"/>
        <v>714</v>
      </c>
      <c r="O27" s="102">
        <f t="shared" si="6"/>
        <v>0</v>
      </c>
      <c r="P27" s="102">
        <f t="shared" si="6"/>
        <v>0</v>
      </c>
      <c r="Q27" s="102">
        <f t="shared" si="6"/>
        <v>0</v>
      </c>
      <c r="R27" s="102">
        <f t="shared" si="6"/>
        <v>0</v>
      </c>
      <c r="S27" s="102">
        <f t="shared" si="6"/>
        <v>0</v>
      </c>
      <c r="T27" s="102">
        <f t="shared" si="6"/>
        <v>0</v>
      </c>
      <c r="U27" s="102">
        <f t="shared" si="6"/>
        <v>0</v>
      </c>
      <c r="V27" s="102">
        <f t="shared" si="6"/>
        <v>0</v>
      </c>
      <c r="W27" s="102">
        <f t="shared" si="6"/>
        <v>0</v>
      </c>
      <c r="X27" s="102">
        <f t="shared" si="6"/>
        <v>0</v>
      </c>
      <c r="Y27" s="102">
        <f t="shared" si="6"/>
        <v>66.56</v>
      </c>
      <c r="Z27" s="102">
        <f t="shared" si="6"/>
        <v>0</v>
      </c>
      <c r="AA27" s="102">
        <f t="shared" si="6"/>
        <v>66.56</v>
      </c>
      <c r="AB27" s="101">
        <f>SUM(AB8:AB24)</f>
        <v>458.37</v>
      </c>
    </row>
    <row r="28" spans="1:28">
      <c r="A28" s="50"/>
      <c r="B28" s="50"/>
      <c r="C28" s="103"/>
      <c r="D28" s="104"/>
      <c r="E28" s="104"/>
      <c r="F28" s="104"/>
      <c r="G28" s="104"/>
      <c r="H28" s="104"/>
      <c r="I28" s="104"/>
      <c r="J28" s="104"/>
      <c r="K28" s="103"/>
      <c r="L28" s="103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3"/>
    </row>
    <row r="29" spans="1:28">
      <c r="A29" s="6" t="s">
        <v>38</v>
      </c>
      <c r="B29" s="2"/>
      <c r="C29" s="2"/>
      <c r="D29" s="2"/>
      <c r="E29" s="2"/>
      <c r="F29" s="2"/>
      <c r="G29" s="2"/>
      <c r="H29" s="2"/>
      <c r="I29" s="2"/>
      <c r="J29" s="2"/>
      <c r="K29" s="6" t="s">
        <v>39</v>
      </c>
      <c r="L29" s="2"/>
      <c r="M29" s="2"/>
      <c r="N29" s="2"/>
      <c r="O29" s="2"/>
      <c r="P29" s="2"/>
      <c r="Q29" s="2"/>
      <c r="R29" s="2"/>
      <c r="S29" s="6" t="s">
        <v>40</v>
      </c>
      <c r="T29" s="2"/>
      <c r="U29" s="2"/>
      <c r="V29" s="7"/>
      <c r="W29" s="2"/>
      <c r="X29" s="2"/>
      <c r="Y29" s="2"/>
      <c r="Z29" s="2"/>
      <c r="AA29" s="2"/>
      <c r="AB29" s="2"/>
    </row>
    <row r="30" spans="1:28">
      <c r="A30" s="6" t="s">
        <v>41</v>
      </c>
      <c r="B30" s="2"/>
      <c r="C30" s="2"/>
      <c r="D30" s="2"/>
      <c r="E30" s="2"/>
      <c r="F30" s="2"/>
      <c r="G30" s="2"/>
      <c r="H30" s="2"/>
      <c r="I30" s="2"/>
      <c r="J30" s="2"/>
      <c r="K30" s="6" t="s">
        <v>42</v>
      </c>
      <c r="L30" s="2"/>
      <c r="M30" s="2"/>
      <c r="N30" s="2"/>
      <c r="O30" s="2"/>
      <c r="P30" s="2"/>
      <c r="Q30" s="2"/>
      <c r="R30" s="2"/>
      <c r="S30" s="6" t="s">
        <v>43</v>
      </c>
      <c r="T30" s="2"/>
      <c r="U30" s="2"/>
      <c r="V30" s="2"/>
      <c r="W30" s="2"/>
      <c r="X30" s="2"/>
      <c r="Y30" s="2"/>
      <c r="Z30" s="2"/>
      <c r="AA30" s="2"/>
      <c r="AB30" s="2"/>
    </row>
    <row r="31" spans="1:28">
      <c r="A31" s="6" t="s">
        <v>44</v>
      </c>
      <c r="B31" s="2"/>
      <c r="C31" s="2"/>
      <c r="D31" s="2"/>
      <c r="E31" s="2"/>
      <c r="F31" s="2"/>
      <c r="G31" s="2"/>
      <c r="H31" s="2"/>
      <c r="I31" s="2"/>
      <c r="J31" s="2"/>
      <c r="K31" s="6" t="s">
        <v>45</v>
      </c>
      <c r="L31" s="2"/>
      <c r="M31" s="2"/>
      <c r="N31" s="2"/>
      <c r="O31" s="2"/>
      <c r="P31" s="2"/>
      <c r="Q31" s="2"/>
      <c r="R31" s="2"/>
      <c r="S31" s="6" t="s">
        <v>46</v>
      </c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2"/>
      <c r="B32" s="2"/>
      <c r="C32" s="6" t="s">
        <v>47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Q32" s="2"/>
      <c r="R32" s="2"/>
      <c r="S32" s="6" t="s">
        <v>48</v>
      </c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2"/>
      <c r="B33" s="2"/>
      <c r="C33" s="6" t="s">
        <v>49</v>
      </c>
      <c r="E33" s="2"/>
      <c r="F33" s="2"/>
      <c r="G33" s="2"/>
      <c r="H33" s="2"/>
      <c r="I33" s="2" t="s">
        <v>50</v>
      </c>
      <c r="K33" s="2"/>
      <c r="L33" s="2"/>
      <c r="M33" s="2"/>
      <c r="N33" s="2"/>
      <c r="O33" s="2"/>
      <c r="Q33" s="2"/>
      <c r="R33" s="2"/>
      <c r="S33" s="2" t="s">
        <v>51</v>
      </c>
      <c r="T33" s="2"/>
      <c r="U33" s="2"/>
      <c r="V33" s="2"/>
      <c r="W33" s="2"/>
      <c r="X33" s="2"/>
      <c r="Y33" s="2"/>
      <c r="AA33" s="2"/>
      <c r="AB33" s="2"/>
    </row>
    <row r="34" spans="1:28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Q34" s="2"/>
      <c r="R34" s="2"/>
      <c r="S34" s="6" t="s">
        <v>52</v>
      </c>
      <c r="T34" s="2"/>
      <c r="U34" s="2"/>
      <c r="V34" s="2"/>
      <c r="X34" s="2"/>
      <c r="Y34" s="2"/>
      <c r="AA34" s="2" t="s">
        <v>111</v>
      </c>
      <c r="AB34" s="2"/>
    </row>
    <row r="35" spans="1:28">
      <c r="A35" s="2"/>
      <c r="B35" s="2"/>
      <c r="C35" s="6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Q35" s="2"/>
      <c r="R35" s="2"/>
      <c r="S35" s="6"/>
      <c r="T35" s="2"/>
      <c r="U35" s="2"/>
      <c r="V35" s="2"/>
      <c r="W35" s="2"/>
      <c r="X35" s="2"/>
      <c r="Y35" s="2"/>
      <c r="Z35" s="2"/>
      <c r="AA35" s="2"/>
      <c r="AB35" s="2"/>
    </row>
    <row r="36" spans="1:28">
      <c r="A36" s="2"/>
      <c r="B36" s="2"/>
      <c r="C36" s="6"/>
      <c r="E36" s="2"/>
      <c r="F36" s="2"/>
      <c r="G36" s="2"/>
      <c r="H36" s="2"/>
      <c r="I36" s="2"/>
      <c r="K36" s="2"/>
      <c r="L36" s="2"/>
      <c r="M36" s="2"/>
      <c r="N36" s="2"/>
      <c r="O36" s="2"/>
      <c r="Q36" s="2"/>
      <c r="R36" s="2"/>
      <c r="S36" s="2"/>
      <c r="T36" s="2"/>
      <c r="U36" s="2"/>
      <c r="V36" s="2"/>
      <c r="W36" s="2"/>
      <c r="X36" s="2"/>
      <c r="Y36" s="2"/>
      <c r="AA36" s="2"/>
      <c r="AB36" s="2"/>
    </row>
    <row r="37" spans="1:28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Q37" s="2"/>
      <c r="R37" s="2"/>
      <c r="S37" s="6"/>
      <c r="T37" s="2"/>
      <c r="U37" s="2"/>
      <c r="V37" s="2"/>
      <c r="X37" s="2"/>
      <c r="Y37" s="2"/>
      <c r="AA37" s="2"/>
      <c r="AB37" s="2"/>
    </row>
  </sheetData>
  <mergeCells count="55">
    <mergeCell ref="AB27:AB28"/>
    <mergeCell ref="V27:V28"/>
    <mergeCell ref="W27:W28"/>
    <mergeCell ref="X27:X28"/>
    <mergeCell ref="Y27:Y28"/>
    <mergeCell ref="Z27:Z28"/>
    <mergeCell ref="AA27:AA28"/>
    <mergeCell ref="P27:P28"/>
    <mergeCell ref="Q27:Q28"/>
    <mergeCell ref="R27:R28"/>
    <mergeCell ref="S27:S28"/>
    <mergeCell ref="T27:T28"/>
    <mergeCell ref="U27:U28"/>
    <mergeCell ref="J27:J28"/>
    <mergeCell ref="K27:K28"/>
    <mergeCell ref="L27:L28"/>
    <mergeCell ref="M27:M28"/>
    <mergeCell ref="N27:N28"/>
    <mergeCell ref="O27:O28"/>
    <mergeCell ref="U6:Z6"/>
    <mergeCell ref="A27:A28"/>
    <mergeCell ref="B27:B28"/>
    <mergeCell ref="C27:C28"/>
    <mergeCell ref="D27:D28"/>
    <mergeCell ref="E27:E28"/>
    <mergeCell ref="F27:F28"/>
    <mergeCell ref="G27:G28"/>
    <mergeCell ref="H27:H28"/>
    <mergeCell ref="I27:I28"/>
    <mergeCell ref="G6:G7"/>
    <mergeCell ref="H6:H7"/>
    <mergeCell ref="I6:I7"/>
    <mergeCell ref="L6:M6"/>
    <mergeCell ref="N6:O6"/>
    <mergeCell ref="P6:S6"/>
    <mergeCell ref="AB4:AB7"/>
    <mergeCell ref="D5:D7"/>
    <mergeCell ref="E5:E7"/>
    <mergeCell ref="F5:F7"/>
    <mergeCell ref="G5:I5"/>
    <mergeCell ref="J5:J7"/>
    <mergeCell ref="P5:S5"/>
    <mergeCell ref="T5:T7"/>
    <mergeCell ref="U5:Z5"/>
    <mergeCell ref="AA5:AA7"/>
    <mergeCell ref="A1:AB1"/>
    <mergeCell ref="A3:AB3"/>
    <mergeCell ref="A4:A7"/>
    <mergeCell ref="B4:B7"/>
    <mergeCell ref="C4:C7"/>
    <mergeCell ref="D4:F4"/>
    <mergeCell ref="G4:J4"/>
    <mergeCell ref="K4:K7"/>
    <mergeCell ref="L4:O5"/>
    <mergeCell ref="P4:AA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52"/>
  <sheetViews>
    <sheetView tabSelected="1" workbookViewId="0">
      <selection activeCell="F35" sqref="F35"/>
    </sheetView>
  </sheetViews>
  <sheetFormatPr defaultRowHeight="15"/>
  <cols>
    <col min="1" max="1" width="37.7109375" customWidth="1"/>
    <col min="2" max="2" width="12.5703125" customWidth="1"/>
    <col min="3" max="3" width="6.140625" customWidth="1"/>
    <col min="4" max="6" width="5.28515625" customWidth="1"/>
    <col min="7" max="9" width="5.85546875" customWidth="1"/>
    <col min="10" max="10" width="5" customWidth="1"/>
    <col min="11" max="11" width="5.5703125" customWidth="1"/>
    <col min="12" max="15" width="5.42578125" customWidth="1"/>
    <col min="16" max="19" width="6" customWidth="1"/>
    <col min="20" max="20" width="6.140625" customWidth="1"/>
    <col min="21" max="26" width="5.7109375" customWidth="1"/>
    <col min="27" max="27" width="7" customWidth="1"/>
    <col min="28" max="28" width="7.42578125" customWidth="1"/>
  </cols>
  <sheetData>
    <row r="1" spans="1:28" ht="18.7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>
      <c r="A2" s="38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5.75">
      <c r="A3" s="43" t="s">
        <v>112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>
      <c r="A4" s="51" t="s">
        <v>1</v>
      </c>
      <c r="B4" s="51" t="s">
        <v>2</v>
      </c>
      <c r="C4" s="52" t="s">
        <v>3</v>
      </c>
      <c r="D4" s="51" t="s">
        <v>4</v>
      </c>
      <c r="E4" s="51"/>
      <c r="F4" s="51"/>
      <c r="G4" s="51" t="s">
        <v>5</v>
      </c>
      <c r="H4" s="51"/>
      <c r="I4" s="51"/>
      <c r="J4" s="51"/>
      <c r="K4" s="52" t="s">
        <v>6</v>
      </c>
      <c r="L4" s="51" t="s">
        <v>7</v>
      </c>
      <c r="M4" s="51"/>
      <c r="N4" s="51"/>
      <c r="O4" s="51"/>
      <c r="P4" s="51" t="s">
        <v>8</v>
      </c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 t="s">
        <v>9</v>
      </c>
    </row>
    <row r="5" spans="1:28" ht="20.25" customHeight="1">
      <c r="A5" s="51"/>
      <c r="B5" s="51"/>
      <c r="C5" s="52"/>
      <c r="D5" s="52" t="s">
        <v>10</v>
      </c>
      <c r="E5" s="52" t="s">
        <v>11</v>
      </c>
      <c r="F5" s="52" t="s">
        <v>94</v>
      </c>
      <c r="G5" s="51" t="s">
        <v>12</v>
      </c>
      <c r="H5" s="51"/>
      <c r="I5" s="51"/>
      <c r="J5" s="52" t="s">
        <v>13</v>
      </c>
      <c r="K5" s="52"/>
      <c r="L5" s="51"/>
      <c r="M5" s="51"/>
      <c r="N5" s="51"/>
      <c r="O5" s="51"/>
      <c r="P5" s="51" t="s">
        <v>14</v>
      </c>
      <c r="Q5" s="51"/>
      <c r="R5" s="51"/>
      <c r="S5" s="51"/>
      <c r="T5" s="52" t="s">
        <v>15</v>
      </c>
      <c r="U5" s="51" t="s">
        <v>16</v>
      </c>
      <c r="V5" s="51"/>
      <c r="W5" s="51"/>
      <c r="X5" s="51"/>
      <c r="Y5" s="51"/>
      <c r="Z5" s="51"/>
      <c r="AA5" s="52" t="s">
        <v>15</v>
      </c>
      <c r="AB5" s="51"/>
    </row>
    <row r="6" spans="1:28">
      <c r="A6" s="51"/>
      <c r="B6" s="51"/>
      <c r="C6" s="52"/>
      <c r="D6" s="52"/>
      <c r="E6" s="52"/>
      <c r="F6" s="52"/>
      <c r="G6" s="52" t="s">
        <v>11</v>
      </c>
      <c r="H6" s="52" t="s">
        <v>17</v>
      </c>
      <c r="I6" s="52" t="s">
        <v>18</v>
      </c>
      <c r="J6" s="52"/>
      <c r="K6" s="52"/>
      <c r="L6" s="51" t="s">
        <v>19</v>
      </c>
      <c r="M6" s="51"/>
      <c r="N6" s="51" t="s">
        <v>20</v>
      </c>
      <c r="O6" s="51"/>
      <c r="P6" s="51" t="s">
        <v>21</v>
      </c>
      <c r="Q6" s="51"/>
      <c r="R6" s="51"/>
      <c r="S6" s="51"/>
      <c r="T6" s="52"/>
      <c r="U6" s="51" t="s">
        <v>21</v>
      </c>
      <c r="V6" s="51"/>
      <c r="W6" s="51"/>
      <c r="X6" s="51"/>
      <c r="Y6" s="51"/>
      <c r="Z6" s="51"/>
      <c r="AA6" s="52"/>
      <c r="AB6" s="51"/>
    </row>
    <row r="7" spans="1:28" ht="39.75">
      <c r="A7" s="51"/>
      <c r="B7" s="51"/>
      <c r="C7" s="52"/>
      <c r="D7" s="52"/>
      <c r="E7" s="52"/>
      <c r="F7" s="52"/>
      <c r="G7" s="52"/>
      <c r="H7" s="52"/>
      <c r="I7" s="52"/>
      <c r="J7" s="52"/>
      <c r="K7" s="52"/>
      <c r="L7" s="53" t="s">
        <v>22</v>
      </c>
      <c r="M7" s="53" t="s">
        <v>23</v>
      </c>
      <c r="N7" s="53" t="s">
        <v>22</v>
      </c>
      <c r="O7" s="53" t="s">
        <v>23</v>
      </c>
      <c r="P7" s="53" t="s">
        <v>24</v>
      </c>
      <c r="Q7" s="53" t="s">
        <v>25</v>
      </c>
      <c r="R7" s="53" t="s">
        <v>26</v>
      </c>
      <c r="S7" s="53" t="s">
        <v>27</v>
      </c>
      <c r="T7" s="52"/>
      <c r="U7" s="53" t="s">
        <v>28</v>
      </c>
      <c r="V7" s="53" t="s">
        <v>29</v>
      </c>
      <c r="W7" s="53" t="s">
        <v>30</v>
      </c>
      <c r="X7" s="53" t="s">
        <v>31</v>
      </c>
      <c r="Y7" s="53" t="s">
        <v>32</v>
      </c>
      <c r="Z7" s="53" t="s">
        <v>33</v>
      </c>
      <c r="AA7" s="52"/>
      <c r="AB7" s="51"/>
    </row>
    <row r="8" spans="1:28">
      <c r="A8" s="105" t="s">
        <v>113</v>
      </c>
      <c r="B8" s="106" t="s">
        <v>114</v>
      </c>
      <c r="C8" s="107">
        <v>34</v>
      </c>
      <c r="D8" s="108"/>
      <c r="E8" s="108"/>
      <c r="F8" s="109"/>
      <c r="G8" s="110"/>
      <c r="H8" s="111"/>
      <c r="I8" s="112"/>
      <c r="J8" s="108"/>
      <c r="K8" s="107">
        <v>34</v>
      </c>
      <c r="L8" s="113">
        <v>32</v>
      </c>
      <c r="M8" s="114"/>
      <c r="N8" s="113"/>
      <c r="O8" s="115"/>
      <c r="P8" s="116">
        <v>10</v>
      </c>
      <c r="Q8" s="117">
        <v>8</v>
      </c>
      <c r="R8" s="117">
        <v>8</v>
      </c>
      <c r="S8" s="118">
        <v>6</v>
      </c>
      <c r="T8" s="119">
        <f>SUM(P8:S8)</f>
        <v>32</v>
      </c>
      <c r="U8" s="120"/>
      <c r="V8" s="106"/>
      <c r="W8" s="106"/>
      <c r="X8" s="106"/>
      <c r="Y8" s="106"/>
      <c r="Z8" s="121"/>
      <c r="AA8" s="114"/>
      <c r="AB8" s="107">
        <v>34</v>
      </c>
    </row>
    <row r="9" spans="1:28">
      <c r="A9" s="105" t="s">
        <v>115</v>
      </c>
      <c r="B9" s="106" t="s">
        <v>114</v>
      </c>
      <c r="C9" s="107">
        <v>44</v>
      </c>
      <c r="D9" s="108"/>
      <c r="E9" s="108"/>
      <c r="F9" s="109"/>
      <c r="G9" s="110"/>
      <c r="H9" s="111"/>
      <c r="I9" s="112"/>
      <c r="J9" s="108"/>
      <c r="K9" s="107">
        <v>44</v>
      </c>
      <c r="L9" s="113"/>
      <c r="M9" s="114"/>
      <c r="N9" s="113">
        <v>42</v>
      </c>
      <c r="O9" s="115"/>
      <c r="P9" s="122"/>
      <c r="Q9" s="123"/>
      <c r="R9" s="123"/>
      <c r="S9" s="124"/>
      <c r="T9" s="119">
        <f t="shared" ref="T9:T42" si="0">SUM(P9:S9)</f>
        <v>0</v>
      </c>
      <c r="U9" s="120">
        <v>6</v>
      </c>
      <c r="V9" s="106">
        <v>8</v>
      </c>
      <c r="W9" s="106">
        <v>10</v>
      </c>
      <c r="X9" s="106">
        <v>4</v>
      </c>
      <c r="Y9" s="106">
        <v>10</v>
      </c>
      <c r="Z9" s="121"/>
      <c r="AA9" s="114">
        <f t="shared" ref="AA9:AA42" si="1">SUM(U9:Z9)</f>
        <v>38</v>
      </c>
      <c r="AB9" s="107">
        <v>44</v>
      </c>
    </row>
    <row r="10" spans="1:28">
      <c r="A10" s="105" t="s">
        <v>116</v>
      </c>
      <c r="B10" s="106" t="s">
        <v>114</v>
      </c>
      <c r="C10" s="107">
        <v>44</v>
      </c>
      <c r="D10" s="108"/>
      <c r="E10" s="108"/>
      <c r="F10" s="125"/>
      <c r="G10" s="110"/>
      <c r="H10" s="111"/>
      <c r="I10" s="112"/>
      <c r="J10" s="108"/>
      <c r="K10" s="107">
        <v>44</v>
      </c>
      <c r="L10" s="113"/>
      <c r="M10" s="114"/>
      <c r="N10" s="113">
        <v>42</v>
      </c>
      <c r="O10" s="115"/>
      <c r="P10" s="122"/>
      <c r="Q10" s="123"/>
      <c r="R10" s="123"/>
      <c r="S10" s="124"/>
      <c r="T10" s="119">
        <f t="shared" si="0"/>
        <v>0</v>
      </c>
      <c r="U10" s="120">
        <v>6</v>
      </c>
      <c r="V10" s="106">
        <v>8</v>
      </c>
      <c r="W10" s="106">
        <v>8</v>
      </c>
      <c r="X10" s="106">
        <v>12</v>
      </c>
      <c r="Y10" s="106">
        <v>8</v>
      </c>
      <c r="Z10" s="121"/>
      <c r="AA10" s="114">
        <f t="shared" si="1"/>
        <v>42</v>
      </c>
      <c r="AB10" s="107">
        <v>44</v>
      </c>
    </row>
    <row r="11" spans="1:28">
      <c r="A11" s="105" t="s">
        <v>117</v>
      </c>
      <c r="B11" s="106" t="s">
        <v>114</v>
      </c>
      <c r="C11" s="107">
        <v>44</v>
      </c>
      <c r="D11" s="108"/>
      <c r="E11" s="108"/>
      <c r="F11" s="125"/>
      <c r="G11" s="110"/>
      <c r="H11" s="111"/>
      <c r="I11" s="112"/>
      <c r="J11" s="108"/>
      <c r="K11" s="107">
        <v>44</v>
      </c>
      <c r="L11" s="113"/>
      <c r="M11" s="114"/>
      <c r="N11" s="113">
        <v>42</v>
      </c>
      <c r="O11" s="115"/>
      <c r="P11" s="122"/>
      <c r="Q11" s="123"/>
      <c r="R11" s="123"/>
      <c r="S11" s="124"/>
      <c r="T11" s="119">
        <f t="shared" si="0"/>
        <v>0</v>
      </c>
      <c r="U11" s="120">
        <v>6</v>
      </c>
      <c r="V11" s="106">
        <v>8</v>
      </c>
      <c r="W11" s="106">
        <v>8</v>
      </c>
      <c r="X11" s="106">
        <v>10</v>
      </c>
      <c r="Y11" s="106">
        <v>8</v>
      </c>
      <c r="Z11" s="121"/>
      <c r="AA11" s="114">
        <f t="shared" si="1"/>
        <v>40</v>
      </c>
      <c r="AB11" s="107">
        <v>44</v>
      </c>
    </row>
    <row r="12" spans="1:28">
      <c r="A12" s="105" t="s">
        <v>113</v>
      </c>
      <c r="B12" s="126" t="s">
        <v>83</v>
      </c>
      <c r="C12" s="127">
        <v>34</v>
      </c>
      <c r="D12" s="108"/>
      <c r="E12" s="108"/>
      <c r="F12" s="125"/>
      <c r="G12" s="110"/>
      <c r="H12" s="111"/>
      <c r="I12" s="112"/>
      <c r="J12" s="108"/>
      <c r="K12" s="127">
        <v>34</v>
      </c>
      <c r="L12" s="113">
        <v>32</v>
      </c>
      <c r="M12" s="114"/>
      <c r="N12" s="113"/>
      <c r="O12" s="115"/>
      <c r="P12" s="116">
        <v>12</v>
      </c>
      <c r="Q12" s="117">
        <v>6</v>
      </c>
      <c r="R12" s="117">
        <v>6</v>
      </c>
      <c r="S12" s="118">
        <v>8</v>
      </c>
      <c r="T12" s="119">
        <f t="shared" si="0"/>
        <v>32</v>
      </c>
      <c r="U12" s="120"/>
      <c r="V12" s="106"/>
      <c r="W12" s="106"/>
      <c r="X12" s="106"/>
      <c r="Y12" s="106"/>
      <c r="Z12" s="121"/>
      <c r="AA12" s="114"/>
      <c r="AB12" s="127">
        <v>34</v>
      </c>
    </row>
    <row r="13" spans="1:28">
      <c r="A13" s="105" t="s">
        <v>115</v>
      </c>
      <c r="B13" s="126" t="s">
        <v>83</v>
      </c>
      <c r="C13" s="127">
        <v>44</v>
      </c>
      <c r="D13" s="108"/>
      <c r="E13" s="108"/>
      <c r="F13" s="125"/>
      <c r="G13" s="110"/>
      <c r="H13" s="111"/>
      <c r="I13" s="112"/>
      <c r="J13" s="108"/>
      <c r="K13" s="127">
        <v>44</v>
      </c>
      <c r="L13" s="113"/>
      <c r="M13" s="114"/>
      <c r="N13" s="113">
        <v>42</v>
      </c>
      <c r="O13" s="115"/>
      <c r="P13" s="122"/>
      <c r="Q13" s="123"/>
      <c r="R13" s="123"/>
      <c r="S13" s="124"/>
      <c r="T13" s="119">
        <f t="shared" si="0"/>
        <v>0</v>
      </c>
      <c r="U13" s="120">
        <v>6</v>
      </c>
      <c r="V13" s="106">
        <v>8</v>
      </c>
      <c r="W13" s="106">
        <v>8</v>
      </c>
      <c r="X13" s="106">
        <v>12</v>
      </c>
      <c r="Y13" s="106">
        <v>10</v>
      </c>
      <c r="Z13" s="121"/>
      <c r="AA13" s="114">
        <f t="shared" si="1"/>
        <v>44</v>
      </c>
      <c r="AB13" s="127">
        <v>44</v>
      </c>
    </row>
    <row r="14" spans="1:28">
      <c r="A14" s="105" t="s">
        <v>116</v>
      </c>
      <c r="B14" s="126" t="s">
        <v>83</v>
      </c>
      <c r="C14" s="127">
        <v>44</v>
      </c>
      <c r="D14" s="108"/>
      <c r="E14" s="108"/>
      <c r="F14" s="125"/>
      <c r="G14" s="110"/>
      <c r="H14" s="111"/>
      <c r="I14" s="112"/>
      <c r="J14" s="108"/>
      <c r="K14" s="127">
        <v>44</v>
      </c>
      <c r="L14" s="113"/>
      <c r="M14" s="114"/>
      <c r="N14" s="113">
        <v>42</v>
      </c>
      <c r="O14" s="115"/>
      <c r="P14" s="122"/>
      <c r="Q14" s="123"/>
      <c r="R14" s="123"/>
      <c r="S14" s="124"/>
      <c r="T14" s="119">
        <f t="shared" si="0"/>
        <v>0</v>
      </c>
      <c r="U14" s="120">
        <v>6</v>
      </c>
      <c r="V14" s="106">
        <v>8</v>
      </c>
      <c r="W14" s="106">
        <v>10</v>
      </c>
      <c r="X14" s="106">
        <v>10</v>
      </c>
      <c r="Y14" s="106">
        <v>8</v>
      </c>
      <c r="Z14" s="121"/>
      <c r="AA14" s="114">
        <f t="shared" si="1"/>
        <v>42</v>
      </c>
      <c r="AB14" s="127">
        <v>44</v>
      </c>
    </row>
    <row r="15" spans="1:28">
      <c r="A15" s="105" t="s">
        <v>117</v>
      </c>
      <c r="B15" s="126" t="s">
        <v>83</v>
      </c>
      <c r="C15" s="127">
        <v>44</v>
      </c>
      <c r="D15" s="108"/>
      <c r="E15" s="108"/>
      <c r="F15" s="125"/>
      <c r="G15" s="110"/>
      <c r="H15" s="111"/>
      <c r="I15" s="112"/>
      <c r="J15" s="108"/>
      <c r="K15" s="127">
        <v>44</v>
      </c>
      <c r="L15" s="113"/>
      <c r="M15" s="114"/>
      <c r="N15" s="113">
        <v>42</v>
      </c>
      <c r="O15" s="115"/>
      <c r="P15" s="122"/>
      <c r="Q15" s="123"/>
      <c r="R15" s="123"/>
      <c r="S15" s="124"/>
      <c r="T15" s="119">
        <f t="shared" si="0"/>
        <v>0</v>
      </c>
      <c r="U15" s="120">
        <v>6</v>
      </c>
      <c r="V15" s="106">
        <v>8</v>
      </c>
      <c r="W15" s="106">
        <v>8</v>
      </c>
      <c r="X15" s="106">
        <v>10</v>
      </c>
      <c r="Y15" s="106">
        <v>6</v>
      </c>
      <c r="Z15" s="121"/>
      <c r="AA15" s="114">
        <f t="shared" si="1"/>
        <v>38</v>
      </c>
      <c r="AB15" s="127">
        <v>44</v>
      </c>
    </row>
    <row r="16" spans="1:28">
      <c r="A16" s="105" t="s">
        <v>113</v>
      </c>
      <c r="B16" s="126" t="s">
        <v>84</v>
      </c>
      <c r="C16" s="127">
        <v>34</v>
      </c>
      <c r="D16" s="108"/>
      <c r="E16" s="108"/>
      <c r="F16" s="125"/>
      <c r="G16" s="110"/>
      <c r="H16" s="111"/>
      <c r="I16" s="112"/>
      <c r="J16" s="108"/>
      <c r="K16" s="127">
        <v>34</v>
      </c>
      <c r="L16" s="113">
        <v>32</v>
      </c>
      <c r="M16" s="114"/>
      <c r="N16" s="113"/>
      <c r="O16" s="115"/>
      <c r="P16" s="116">
        <v>12</v>
      </c>
      <c r="Q16" s="117">
        <v>8</v>
      </c>
      <c r="R16" s="117">
        <v>10</v>
      </c>
      <c r="S16" s="118">
        <v>2</v>
      </c>
      <c r="T16" s="119">
        <f t="shared" si="0"/>
        <v>32</v>
      </c>
      <c r="U16" s="120"/>
      <c r="V16" s="106"/>
      <c r="W16" s="106"/>
      <c r="X16" s="106"/>
      <c r="Y16" s="106"/>
      <c r="Z16" s="121"/>
      <c r="AA16" s="114"/>
      <c r="AB16" s="127">
        <v>34</v>
      </c>
    </row>
    <row r="17" spans="1:28">
      <c r="A17" s="105" t="s">
        <v>115</v>
      </c>
      <c r="B17" s="126" t="s">
        <v>84</v>
      </c>
      <c r="C17" s="127">
        <v>44</v>
      </c>
      <c r="D17" s="108"/>
      <c r="E17" s="108"/>
      <c r="F17" s="125"/>
      <c r="G17" s="110"/>
      <c r="H17" s="111"/>
      <c r="I17" s="112"/>
      <c r="J17" s="108"/>
      <c r="K17" s="127">
        <v>44</v>
      </c>
      <c r="L17" s="113"/>
      <c r="M17" s="114"/>
      <c r="N17" s="113">
        <v>42</v>
      </c>
      <c r="O17" s="115"/>
      <c r="P17" s="122"/>
      <c r="Q17" s="123"/>
      <c r="R17" s="123"/>
      <c r="S17" s="124"/>
      <c r="T17" s="119">
        <f t="shared" si="0"/>
        <v>0</v>
      </c>
      <c r="U17" s="120">
        <v>6</v>
      </c>
      <c r="V17" s="106">
        <v>8</v>
      </c>
      <c r="W17" s="106">
        <v>10</v>
      </c>
      <c r="X17" s="106">
        <v>10</v>
      </c>
      <c r="Y17" s="106">
        <v>10</v>
      </c>
      <c r="Z17" s="121"/>
      <c r="AA17" s="114">
        <f t="shared" si="1"/>
        <v>44</v>
      </c>
      <c r="AB17" s="127">
        <v>44</v>
      </c>
    </row>
    <row r="18" spans="1:28">
      <c r="A18" s="105" t="s">
        <v>116</v>
      </c>
      <c r="B18" s="126" t="s">
        <v>84</v>
      </c>
      <c r="C18" s="127">
        <v>44</v>
      </c>
      <c r="D18" s="108"/>
      <c r="E18" s="108"/>
      <c r="F18" s="125"/>
      <c r="G18" s="110"/>
      <c r="H18" s="111"/>
      <c r="I18" s="112"/>
      <c r="J18" s="108"/>
      <c r="K18" s="127">
        <v>44</v>
      </c>
      <c r="L18" s="113"/>
      <c r="M18" s="114"/>
      <c r="N18" s="113">
        <v>42</v>
      </c>
      <c r="O18" s="115"/>
      <c r="P18" s="122"/>
      <c r="Q18" s="123"/>
      <c r="R18" s="123"/>
      <c r="S18" s="124"/>
      <c r="T18" s="119">
        <f t="shared" si="0"/>
        <v>0</v>
      </c>
      <c r="U18" s="120">
        <v>6</v>
      </c>
      <c r="V18" s="106">
        <v>6</v>
      </c>
      <c r="W18" s="106">
        <v>10</v>
      </c>
      <c r="X18" s="106">
        <v>10</v>
      </c>
      <c r="Y18" s="106">
        <v>12</v>
      </c>
      <c r="Z18" s="121"/>
      <c r="AA18" s="114">
        <f t="shared" si="1"/>
        <v>44</v>
      </c>
      <c r="AB18" s="127">
        <v>44</v>
      </c>
    </row>
    <row r="19" spans="1:28">
      <c r="A19" s="105" t="s">
        <v>117</v>
      </c>
      <c r="B19" s="126" t="s">
        <v>84</v>
      </c>
      <c r="C19" s="127">
        <v>44</v>
      </c>
      <c r="D19" s="108"/>
      <c r="E19" s="108"/>
      <c r="F19" s="125"/>
      <c r="G19" s="110"/>
      <c r="H19" s="111"/>
      <c r="I19" s="112"/>
      <c r="J19" s="108"/>
      <c r="K19" s="127">
        <v>44</v>
      </c>
      <c r="L19" s="113"/>
      <c r="M19" s="114"/>
      <c r="N19" s="113">
        <v>42</v>
      </c>
      <c r="O19" s="115"/>
      <c r="P19" s="122"/>
      <c r="Q19" s="123"/>
      <c r="R19" s="123"/>
      <c r="S19" s="124"/>
      <c r="T19" s="119">
        <f t="shared" si="0"/>
        <v>0</v>
      </c>
      <c r="U19" s="120">
        <v>6</v>
      </c>
      <c r="V19" s="106">
        <v>8</v>
      </c>
      <c r="W19" s="106">
        <v>8</v>
      </c>
      <c r="X19" s="106">
        <v>10</v>
      </c>
      <c r="Y19" s="106">
        <v>8</v>
      </c>
      <c r="Z19" s="121"/>
      <c r="AA19" s="114">
        <f t="shared" si="1"/>
        <v>40</v>
      </c>
      <c r="AB19" s="127">
        <v>44</v>
      </c>
    </row>
    <row r="20" spans="1:28" ht="21">
      <c r="A20" s="105" t="s">
        <v>118</v>
      </c>
      <c r="B20" s="126" t="s">
        <v>119</v>
      </c>
      <c r="C20" s="127">
        <v>34</v>
      </c>
      <c r="D20" s="108"/>
      <c r="E20" s="108"/>
      <c r="F20" s="125"/>
      <c r="G20" s="110"/>
      <c r="H20" s="111"/>
      <c r="I20" s="112"/>
      <c r="J20" s="108"/>
      <c r="K20" s="127">
        <v>34</v>
      </c>
      <c r="L20" s="113">
        <v>48</v>
      </c>
      <c r="M20" s="114"/>
      <c r="N20" s="113"/>
      <c r="O20" s="115"/>
      <c r="P20" s="116">
        <v>18</v>
      </c>
      <c r="Q20" s="117">
        <v>26</v>
      </c>
      <c r="R20" s="117">
        <v>6</v>
      </c>
      <c r="S20" s="124"/>
      <c r="T20" s="119">
        <f t="shared" si="0"/>
        <v>50</v>
      </c>
      <c r="U20" s="120"/>
      <c r="V20" s="106"/>
      <c r="W20" s="106"/>
      <c r="X20" s="106"/>
      <c r="Y20" s="106"/>
      <c r="Z20" s="121"/>
      <c r="AA20" s="114"/>
      <c r="AB20" s="127">
        <v>34</v>
      </c>
    </row>
    <row r="21" spans="1:28" ht="21">
      <c r="A21" s="105" t="s">
        <v>116</v>
      </c>
      <c r="B21" s="126" t="s">
        <v>119</v>
      </c>
      <c r="C21" s="127">
        <v>33</v>
      </c>
      <c r="D21" s="108"/>
      <c r="E21" s="108"/>
      <c r="F21" s="125"/>
      <c r="G21" s="110"/>
      <c r="H21" s="111"/>
      <c r="I21" s="112"/>
      <c r="J21" s="108"/>
      <c r="K21" s="127">
        <v>33</v>
      </c>
      <c r="L21" s="113">
        <v>48</v>
      </c>
      <c r="M21" s="114"/>
      <c r="N21" s="113"/>
      <c r="O21" s="115"/>
      <c r="P21" s="116">
        <v>8</v>
      </c>
      <c r="Q21" s="117">
        <v>8</v>
      </c>
      <c r="R21" s="117">
        <v>14</v>
      </c>
      <c r="S21" s="118">
        <v>14</v>
      </c>
      <c r="T21" s="119">
        <f t="shared" si="0"/>
        <v>44</v>
      </c>
      <c r="U21" s="120">
        <v>2</v>
      </c>
      <c r="V21" s="106">
        <v>4</v>
      </c>
      <c r="W21" s="106"/>
      <c r="X21" s="106"/>
      <c r="Y21" s="106"/>
      <c r="Z21" s="121"/>
      <c r="AA21" s="114">
        <f t="shared" si="1"/>
        <v>6</v>
      </c>
      <c r="AB21" s="127">
        <v>33</v>
      </c>
    </row>
    <row r="22" spans="1:28" ht="21">
      <c r="A22" s="105" t="s">
        <v>120</v>
      </c>
      <c r="B22" s="126" t="s">
        <v>119</v>
      </c>
      <c r="C22" s="127">
        <v>38</v>
      </c>
      <c r="D22" s="108"/>
      <c r="E22" s="108"/>
      <c r="F22" s="125"/>
      <c r="G22" s="110"/>
      <c r="H22" s="111"/>
      <c r="I22" s="112"/>
      <c r="J22" s="108"/>
      <c r="K22" s="127">
        <v>38</v>
      </c>
      <c r="L22" s="113">
        <v>48</v>
      </c>
      <c r="M22" s="114"/>
      <c r="N22" s="113"/>
      <c r="O22" s="115"/>
      <c r="P22" s="116">
        <v>16</v>
      </c>
      <c r="Q22" s="117">
        <v>18</v>
      </c>
      <c r="R22" s="117">
        <v>14</v>
      </c>
      <c r="S22" s="118">
        <v>2</v>
      </c>
      <c r="T22" s="119">
        <f t="shared" si="0"/>
        <v>50</v>
      </c>
      <c r="U22" s="120"/>
      <c r="V22" s="106"/>
      <c r="W22" s="106"/>
      <c r="X22" s="106"/>
      <c r="Y22" s="106"/>
      <c r="Z22" s="121"/>
      <c r="AA22" s="114"/>
      <c r="AB22" s="127">
        <v>38</v>
      </c>
    </row>
    <row r="23" spans="1:28" ht="21">
      <c r="A23" s="105" t="s">
        <v>121</v>
      </c>
      <c r="B23" s="126" t="s">
        <v>119</v>
      </c>
      <c r="C23" s="127">
        <v>38</v>
      </c>
      <c r="D23" s="108"/>
      <c r="E23" s="108"/>
      <c r="F23" s="125"/>
      <c r="G23" s="110"/>
      <c r="H23" s="111"/>
      <c r="I23" s="112"/>
      <c r="J23" s="108"/>
      <c r="K23" s="127">
        <v>38</v>
      </c>
      <c r="L23" s="113">
        <v>48</v>
      </c>
      <c r="M23" s="114"/>
      <c r="N23" s="113"/>
      <c r="O23" s="115"/>
      <c r="P23" s="116">
        <v>0</v>
      </c>
      <c r="Q23" s="117">
        <v>0</v>
      </c>
      <c r="R23" s="117">
        <v>4</v>
      </c>
      <c r="S23" s="118">
        <v>18</v>
      </c>
      <c r="T23" s="119">
        <f t="shared" si="0"/>
        <v>22</v>
      </c>
      <c r="U23" s="120">
        <v>10</v>
      </c>
      <c r="V23" s="106">
        <v>18</v>
      </c>
      <c r="W23" s="106"/>
      <c r="X23" s="106"/>
      <c r="Y23" s="106"/>
      <c r="Z23" s="121"/>
      <c r="AA23" s="114">
        <f t="shared" si="1"/>
        <v>28</v>
      </c>
      <c r="AB23" s="127">
        <v>38</v>
      </c>
    </row>
    <row r="24" spans="1:28" ht="21">
      <c r="A24" s="105" t="s">
        <v>122</v>
      </c>
      <c r="B24" s="126" t="s">
        <v>119</v>
      </c>
      <c r="C24" s="127">
        <v>29</v>
      </c>
      <c r="D24" s="108"/>
      <c r="E24" s="108"/>
      <c r="F24" s="125"/>
      <c r="G24" s="110"/>
      <c r="H24" s="111"/>
      <c r="I24" s="112"/>
      <c r="J24" s="108"/>
      <c r="K24" s="127">
        <v>29</v>
      </c>
      <c r="L24" s="113">
        <v>36</v>
      </c>
      <c r="M24" s="114"/>
      <c r="N24" s="113"/>
      <c r="O24" s="115"/>
      <c r="P24" s="116">
        <v>0</v>
      </c>
      <c r="Q24" s="117">
        <v>0</v>
      </c>
      <c r="R24" s="117">
        <v>4</v>
      </c>
      <c r="S24" s="118">
        <v>16</v>
      </c>
      <c r="T24" s="119">
        <f t="shared" si="0"/>
        <v>20</v>
      </c>
      <c r="U24" s="120">
        <v>8</v>
      </c>
      <c r="V24" s="106">
        <v>10</v>
      </c>
      <c r="W24" s="106"/>
      <c r="X24" s="106"/>
      <c r="Y24" s="106"/>
      <c r="Z24" s="121"/>
      <c r="AA24" s="114">
        <f t="shared" si="1"/>
        <v>18</v>
      </c>
      <c r="AB24" s="127">
        <v>29</v>
      </c>
    </row>
    <row r="25" spans="1:28" ht="21">
      <c r="A25" s="105" t="s">
        <v>118</v>
      </c>
      <c r="B25" s="126" t="s">
        <v>123</v>
      </c>
      <c r="C25" s="127">
        <v>34</v>
      </c>
      <c r="D25" s="108"/>
      <c r="E25" s="108"/>
      <c r="F25" s="125"/>
      <c r="G25" s="110"/>
      <c r="H25" s="111"/>
      <c r="I25" s="112"/>
      <c r="J25" s="108"/>
      <c r="K25" s="127">
        <v>34</v>
      </c>
      <c r="L25" s="113">
        <v>48</v>
      </c>
      <c r="M25" s="114"/>
      <c r="N25" s="113"/>
      <c r="O25" s="115"/>
      <c r="P25" s="116">
        <v>18</v>
      </c>
      <c r="Q25" s="117">
        <v>24</v>
      </c>
      <c r="R25" s="117">
        <v>6</v>
      </c>
      <c r="S25" s="118">
        <v>2</v>
      </c>
      <c r="T25" s="119">
        <f t="shared" si="0"/>
        <v>50</v>
      </c>
      <c r="U25" s="120"/>
      <c r="V25" s="106"/>
      <c r="W25" s="106"/>
      <c r="X25" s="106"/>
      <c r="Y25" s="106"/>
      <c r="Z25" s="121"/>
      <c r="AA25" s="114"/>
      <c r="AB25" s="127">
        <v>34</v>
      </c>
    </row>
    <row r="26" spans="1:28" ht="21">
      <c r="A26" s="105" t="s">
        <v>116</v>
      </c>
      <c r="B26" s="126" t="s">
        <v>123</v>
      </c>
      <c r="C26" s="127">
        <v>33</v>
      </c>
      <c r="D26" s="108"/>
      <c r="E26" s="108"/>
      <c r="F26" s="125"/>
      <c r="G26" s="110"/>
      <c r="H26" s="111"/>
      <c r="I26" s="112"/>
      <c r="J26" s="108"/>
      <c r="K26" s="127">
        <v>33</v>
      </c>
      <c r="L26" s="113">
        <v>48</v>
      </c>
      <c r="M26" s="114"/>
      <c r="N26" s="113"/>
      <c r="O26" s="115"/>
      <c r="P26" s="116">
        <v>8</v>
      </c>
      <c r="Q26" s="117">
        <v>8</v>
      </c>
      <c r="R26" s="117">
        <v>16</v>
      </c>
      <c r="S26" s="118">
        <v>14</v>
      </c>
      <c r="T26" s="119">
        <f t="shared" si="0"/>
        <v>46</v>
      </c>
      <c r="U26" s="120">
        <v>4</v>
      </c>
      <c r="V26" s="106"/>
      <c r="W26" s="106"/>
      <c r="X26" s="106"/>
      <c r="Y26" s="106"/>
      <c r="Z26" s="121"/>
      <c r="AA26" s="114">
        <f t="shared" si="1"/>
        <v>4</v>
      </c>
      <c r="AB26" s="127">
        <v>33</v>
      </c>
    </row>
    <row r="27" spans="1:28" ht="21">
      <c r="A27" s="105" t="s">
        <v>120</v>
      </c>
      <c r="B27" s="126" t="s">
        <v>123</v>
      </c>
      <c r="C27" s="127">
        <v>38</v>
      </c>
      <c r="D27" s="108"/>
      <c r="E27" s="108"/>
      <c r="F27" s="125"/>
      <c r="G27" s="110"/>
      <c r="H27" s="111"/>
      <c r="I27" s="112"/>
      <c r="J27" s="108"/>
      <c r="K27" s="127">
        <v>38</v>
      </c>
      <c r="L27" s="113">
        <v>48</v>
      </c>
      <c r="M27" s="114"/>
      <c r="N27" s="113"/>
      <c r="O27" s="115"/>
      <c r="P27" s="116">
        <v>16</v>
      </c>
      <c r="Q27" s="117">
        <v>18</v>
      </c>
      <c r="R27" s="117">
        <v>14</v>
      </c>
      <c r="S27" s="118">
        <v>2</v>
      </c>
      <c r="T27" s="119">
        <f t="shared" si="0"/>
        <v>50</v>
      </c>
      <c r="U27" s="120"/>
      <c r="V27" s="106"/>
      <c r="W27" s="106"/>
      <c r="X27" s="106"/>
      <c r="Y27" s="106"/>
      <c r="Z27" s="121"/>
      <c r="AA27" s="114"/>
      <c r="AB27" s="127">
        <v>38</v>
      </c>
    </row>
    <row r="28" spans="1:28" ht="21">
      <c r="A28" s="105" t="s">
        <v>121</v>
      </c>
      <c r="B28" s="126" t="s">
        <v>123</v>
      </c>
      <c r="C28" s="127">
        <v>38</v>
      </c>
      <c r="D28" s="108"/>
      <c r="E28" s="108"/>
      <c r="F28" s="125"/>
      <c r="G28" s="110"/>
      <c r="H28" s="111"/>
      <c r="I28" s="112"/>
      <c r="J28" s="108"/>
      <c r="K28" s="127">
        <v>38</v>
      </c>
      <c r="L28" s="113">
        <v>48</v>
      </c>
      <c r="M28" s="114"/>
      <c r="N28" s="113"/>
      <c r="O28" s="115"/>
      <c r="P28" s="116">
        <v>0</v>
      </c>
      <c r="Q28" s="117">
        <v>0</v>
      </c>
      <c r="R28" s="117">
        <v>4</v>
      </c>
      <c r="S28" s="118">
        <v>18</v>
      </c>
      <c r="T28" s="119">
        <f t="shared" si="0"/>
        <v>22</v>
      </c>
      <c r="U28" s="120">
        <v>10</v>
      </c>
      <c r="V28" s="106">
        <v>18</v>
      </c>
      <c r="W28" s="106"/>
      <c r="X28" s="106"/>
      <c r="Y28" s="106"/>
      <c r="Z28" s="121"/>
      <c r="AA28" s="114">
        <f t="shared" si="1"/>
        <v>28</v>
      </c>
      <c r="AB28" s="127">
        <v>38</v>
      </c>
    </row>
    <row r="29" spans="1:28" ht="21">
      <c r="A29" s="105" t="s">
        <v>122</v>
      </c>
      <c r="B29" s="126" t="s">
        <v>123</v>
      </c>
      <c r="C29" s="127">
        <v>29</v>
      </c>
      <c r="D29" s="108"/>
      <c r="E29" s="108"/>
      <c r="F29" s="125"/>
      <c r="G29" s="110"/>
      <c r="H29" s="111"/>
      <c r="I29" s="112"/>
      <c r="J29" s="108"/>
      <c r="K29" s="127">
        <v>29</v>
      </c>
      <c r="L29" s="113">
        <v>36</v>
      </c>
      <c r="M29" s="114"/>
      <c r="N29" s="113"/>
      <c r="O29" s="115"/>
      <c r="P29" s="116">
        <v>0</v>
      </c>
      <c r="Q29" s="117">
        <v>0</v>
      </c>
      <c r="R29" s="117">
        <v>6</v>
      </c>
      <c r="S29" s="118">
        <v>14</v>
      </c>
      <c r="T29" s="119">
        <f t="shared" si="0"/>
        <v>20</v>
      </c>
      <c r="U29" s="120">
        <v>8</v>
      </c>
      <c r="V29" s="106">
        <v>10</v>
      </c>
      <c r="W29" s="106"/>
      <c r="X29" s="106"/>
      <c r="Y29" s="106"/>
      <c r="Z29" s="121"/>
      <c r="AA29" s="114">
        <f t="shared" si="1"/>
        <v>18</v>
      </c>
      <c r="AB29" s="127">
        <v>29</v>
      </c>
    </row>
    <row r="30" spans="1:28" ht="21">
      <c r="A30" s="105" t="s">
        <v>124</v>
      </c>
      <c r="B30" s="126" t="s">
        <v>123</v>
      </c>
      <c r="C30" s="127">
        <v>6</v>
      </c>
      <c r="D30" s="108"/>
      <c r="E30" s="108"/>
      <c r="F30" s="125"/>
      <c r="G30" s="110"/>
      <c r="H30" s="111"/>
      <c r="I30" s="112"/>
      <c r="J30" s="108"/>
      <c r="K30" s="127">
        <v>6</v>
      </c>
      <c r="L30" s="113"/>
      <c r="M30" s="114"/>
      <c r="N30" s="113">
        <v>144</v>
      </c>
      <c r="O30" s="115"/>
      <c r="P30" s="122"/>
      <c r="Q30" s="123"/>
      <c r="R30" s="123"/>
      <c r="S30" s="124"/>
      <c r="T30" s="119">
        <f t="shared" si="0"/>
        <v>0</v>
      </c>
      <c r="U30" s="120"/>
      <c r="V30" s="106"/>
      <c r="W30" s="106"/>
      <c r="X30" s="106"/>
      <c r="Y30" s="106"/>
      <c r="Z30" s="121"/>
      <c r="AA30" s="114"/>
      <c r="AB30" s="127">
        <v>6</v>
      </c>
    </row>
    <row r="31" spans="1:28">
      <c r="A31" s="105" t="s">
        <v>125</v>
      </c>
      <c r="B31" s="126" t="s">
        <v>126</v>
      </c>
      <c r="C31" s="127">
        <v>44</v>
      </c>
      <c r="D31" s="108"/>
      <c r="E31" s="108"/>
      <c r="F31" s="125"/>
      <c r="G31" s="110"/>
      <c r="H31" s="111"/>
      <c r="I31" s="112"/>
      <c r="J31" s="108"/>
      <c r="K31" s="127">
        <v>44</v>
      </c>
      <c r="L31" s="113"/>
      <c r="M31" s="114"/>
      <c r="N31" s="113">
        <v>42</v>
      </c>
      <c r="O31" s="115"/>
      <c r="P31" s="122"/>
      <c r="Q31" s="123"/>
      <c r="R31" s="123"/>
      <c r="S31" s="124"/>
      <c r="T31" s="119">
        <f t="shared" si="0"/>
        <v>0</v>
      </c>
      <c r="U31" s="120">
        <v>8</v>
      </c>
      <c r="V31" s="106">
        <v>6</v>
      </c>
      <c r="W31" s="106">
        <v>12</v>
      </c>
      <c r="X31" s="106">
        <v>6</v>
      </c>
      <c r="Y31" s="106">
        <v>12</v>
      </c>
      <c r="Z31" s="121"/>
      <c r="AA31" s="114">
        <f t="shared" si="1"/>
        <v>44</v>
      </c>
      <c r="AB31" s="127">
        <v>44</v>
      </c>
    </row>
    <row r="32" spans="1:28" ht="21">
      <c r="A32" s="105" t="s">
        <v>127</v>
      </c>
      <c r="B32" s="126" t="s">
        <v>126</v>
      </c>
      <c r="C32" s="127">
        <v>48</v>
      </c>
      <c r="D32" s="108"/>
      <c r="E32" s="108"/>
      <c r="F32" s="125"/>
      <c r="G32" s="110"/>
      <c r="H32" s="111"/>
      <c r="I32" s="112"/>
      <c r="J32" s="108"/>
      <c r="K32" s="127">
        <v>48</v>
      </c>
      <c r="L32" s="113">
        <v>48</v>
      </c>
      <c r="M32" s="114"/>
      <c r="N32" s="113"/>
      <c r="O32" s="115"/>
      <c r="P32" s="116">
        <v>12</v>
      </c>
      <c r="Q32" s="117">
        <v>14</v>
      </c>
      <c r="R32" s="117">
        <v>14</v>
      </c>
      <c r="S32" s="118">
        <v>8</v>
      </c>
      <c r="T32" s="119">
        <f t="shared" si="0"/>
        <v>48</v>
      </c>
      <c r="U32" s="120"/>
      <c r="V32" s="106"/>
      <c r="W32" s="106"/>
      <c r="X32" s="106"/>
      <c r="Y32" s="106"/>
      <c r="Z32" s="121"/>
      <c r="AA32" s="114"/>
      <c r="AB32" s="127">
        <v>48</v>
      </c>
    </row>
    <row r="33" spans="1:28" ht="21">
      <c r="A33" s="105" t="s">
        <v>128</v>
      </c>
      <c r="B33" s="126" t="s">
        <v>126</v>
      </c>
      <c r="C33" s="127">
        <v>106</v>
      </c>
      <c r="D33" s="108"/>
      <c r="E33" s="108"/>
      <c r="F33" s="125"/>
      <c r="G33" s="110"/>
      <c r="H33" s="111"/>
      <c r="I33" s="112"/>
      <c r="J33" s="108"/>
      <c r="K33" s="127">
        <v>106</v>
      </c>
      <c r="L33" s="113">
        <v>62</v>
      </c>
      <c r="M33" s="114"/>
      <c r="N33" s="113">
        <v>42</v>
      </c>
      <c r="O33" s="115"/>
      <c r="P33" s="116">
        <v>20</v>
      </c>
      <c r="Q33" s="117">
        <v>18</v>
      </c>
      <c r="R33" s="117">
        <v>14</v>
      </c>
      <c r="S33" s="118">
        <v>10</v>
      </c>
      <c r="T33" s="119">
        <f t="shared" si="0"/>
        <v>62</v>
      </c>
      <c r="U33" s="120">
        <v>6</v>
      </c>
      <c r="V33" s="106">
        <v>8</v>
      </c>
      <c r="W33" s="106">
        <v>8</v>
      </c>
      <c r="X33" s="106">
        <v>8</v>
      </c>
      <c r="Y33" s="106">
        <v>6</v>
      </c>
      <c r="Z33" s="121">
        <v>2</v>
      </c>
      <c r="AA33" s="114">
        <f t="shared" si="1"/>
        <v>38</v>
      </c>
      <c r="AB33" s="127">
        <v>106</v>
      </c>
    </row>
    <row r="34" spans="1:28" ht="21">
      <c r="A34" s="105" t="s">
        <v>129</v>
      </c>
      <c r="B34" s="126" t="s">
        <v>85</v>
      </c>
      <c r="C34" s="128">
        <v>45.5</v>
      </c>
      <c r="D34" s="108"/>
      <c r="E34" s="108"/>
      <c r="F34" s="125"/>
      <c r="G34" s="110"/>
      <c r="H34" s="111"/>
      <c r="I34" s="112"/>
      <c r="J34" s="108"/>
      <c r="K34" s="128">
        <v>45.5</v>
      </c>
      <c r="L34" s="113">
        <v>34</v>
      </c>
      <c r="M34" s="114"/>
      <c r="N34" s="113">
        <v>28</v>
      </c>
      <c r="O34" s="115"/>
      <c r="P34" s="116">
        <v>8</v>
      </c>
      <c r="Q34" s="117">
        <v>12</v>
      </c>
      <c r="R34" s="117">
        <v>14</v>
      </c>
      <c r="S34" s="118">
        <v>8</v>
      </c>
      <c r="T34" s="119">
        <f t="shared" si="0"/>
        <v>42</v>
      </c>
      <c r="U34" s="120">
        <v>6</v>
      </c>
      <c r="V34" s="106">
        <v>16</v>
      </c>
      <c r="W34" s="106"/>
      <c r="X34" s="106"/>
      <c r="Y34" s="106"/>
      <c r="Z34" s="121"/>
      <c r="AA34" s="114">
        <f t="shared" si="1"/>
        <v>22</v>
      </c>
      <c r="AB34" s="128">
        <v>45.5</v>
      </c>
    </row>
    <row r="35" spans="1:28" ht="31.5">
      <c r="A35" s="105" t="s">
        <v>130</v>
      </c>
      <c r="B35" s="126" t="s">
        <v>85</v>
      </c>
      <c r="C35" s="128">
        <v>65</v>
      </c>
      <c r="D35" s="108"/>
      <c r="E35" s="108"/>
      <c r="F35" s="125"/>
      <c r="G35" s="110"/>
      <c r="H35" s="111"/>
      <c r="I35" s="112"/>
      <c r="J35" s="108"/>
      <c r="K35" s="128">
        <v>65</v>
      </c>
      <c r="L35" s="113">
        <v>34</v>
      </c>
      <c r="M35" s="114"/>
      <c r="N35" s="113">
        <v>42</v>
      </c>
      <c r="O35" s="115"/>
      <c r="P35" s="116">
        <v>8</v>
      </c>
      <c r="Q35" s="117">
        <v>10</v>
      </c>
      <c r="R35" s="117">
        <v>12</v>
      </c>
      <c r="S35" s="118">
        <v>6</v>
      </c>
      <c r="T35" s="119">
        <f t="shared" si="0"/>
        <v>36</v>
      </c>
      <c r="U35" s="120">
        <v>16</v>
      </c>
      <c r="V35" s="106">
        <v>36</v>
      </c>
      <c r="W35" s="106"/>
      <c r="X35" s="106"/>
      <c r="Y35" s="106"/>
      <c r="Z35" s="121"/>
      <c r="AA35" s="114">
        <f t="shared" si="1"/>
        <v>52</v>
      </c>
      <c r="AB35" s="128">
        <v>65</v>
      </c>
    </row>
    <row r="36" spans="1:28" ht="21">
      <c r="A36" s="105" t="s">
        <v>131</v>
      </c>
      <c r="B36" s="126" t="s">
        <v>85</v>
      </c>
      <c r="C36" s="129">
        <v>61</v>
      </c>
      <c r="D36" s="108"/>
      <c r="E36" s="108"/>
      <c r="F36" s="125"/>
      <c r="G36" s="110"/>
      <c r="H36" s="111"/>
      <c r="I36" s="112"/>
      <c r="J36" s="108"/>
      <c r="K36" s="129">
        <v>61</v>
      </c>
      <c r="L36" s="113">
        <v>68</v>
      </c>
      <c r="M36" s="114"/>
      <c r="N36" s="113">
        <v>14</v>
      </c>
      <c r="O36" s="115"/>
      <c r="P36" s="116">
        <v>16</v>
      </c>
      <c r="Q36" s="117">
        <v>18</v>
      </c>
      <c r="R36" s="117">
        <v>18</v>
      </c>
      <c r="S36" s="118">
        <v>14</v>
      </c>
      <c r="T36" s="119">
        <f t="shared" si="0"/>
        <v>66</v>
      </c>
      <c r="U36" s="120">
        <v>8</v>
      </c>
      <c r="V36" s="106">
        <v>8</v>
      </c>
      <c r="W36" s="106"/>
      <c r="X36" s="106"/>
      <c r="Y36" s="106"/>
      <c r="Z36" s="121"/>
      <c r="AA36" s="114">
        <f t="shared" si="1"/>
        <v>16</v>
      </c>
      <c r="AB36" s="129">
        <v>61</v>
      </c>
    </row>
    <row r="37" spans="1:28" ht="21">
      <c r="A37" s="105" t="s">
        <v>132</v>
      </c>
      <c r="B37" s="126" t="s">
        <v>85</v>
      </c>
      <c r="C37" s="127">
        <v>21</v>
      </c>
      <c r="D37" s="108"/>
      <c r="E37" s="108"/>
      <c r="F37" s="125"/>
      <c r="G37" s="110"/>
      <c r="H37" s="111"/>
      <c r="I37" s="112"/>
      <c r="J37" s="108"/>
      <c r="K37" s="127">
        <v>21</v>
      </c>
      <c r="L37" s="113"/>
      <c r="M37" s="114"/>
      <c r="N37" s="113">
        <v>25</v>
      </c>
      <c r="O37" s="115"/>
      <c r="P37" s="122"/>
      <c r="Q37" s="123"/>
      <c r="R37" s="123"/>
      <c r="S37" s="124"/>
      <c r="T37" s="119">
        <f t="shared" si="0"/>
        <v>0</v>
      </c>
      <c r="U37" s="120"/>
      <c r="V37" s="106"/>
      <c r="W37" s="106"/>
      <c r="X37" s="106"/>
      <c r="Y37" s="106"/>
      <c r="Z37" s="121"/>
      <c r="AA37" s="114"/>
      <c r="AB37" s="127">
        <v>21</v>
      </c>
    </row>
    <row r="38" spans="1:28" ht="21">
      <c r="A38" s="105" t="s">
        <v>129</v>
      </c>
      <c r="B38" s="126" t="s">
        <v>133</v>
      </c>
      <c r="C38" s="128">
        <v>45.5</v>
      </c>
      <c r="D38" s="108"/>
      <c r="E38" s="108"/>
      <c r="F38" s="125"/>
      <c r="G38" s="110"/>
      <c r="H38" s="111"/>
      <c r="I38" s="112"/>
      <c r="J38" s="108"/>
      <c r="K38" s="128">
        <v>45.5</v>
      </c>
      <c r="L38" s="113">
        <v>34</v>
      </c>
      <c r="M38" s="114"/>
      <c r="N38" s="113">
        <v>28</v>
      </c>
      <c r="O38" s="115"/>
      <c r="P38" s="116">
        <v>8</v>
      </c>
      <c r="Q38" s="117">
        <v>12</v>
      </c>
      <c r="R38" s="117">
        <v>12</v>
      </c>
      <c r="S38" s="118">
        <v>10</v>
      </c>
      <c r="T38" s="119">
        <f t="shared" si="0"/>
        <v>42</v>
      </c>
      <c r="U38" s="120">
        <v>6</v>
      </c>
      <c r="V38" s="106">
        <v>16</v>
      </c>
      <c r="W38" s="106"/>
      <c r="X38" s="106"/>
      <c r="Y38" s="106"/>
      <c r="Z38" s="121"/>
      <c r="AA38" s="114">
        <f t="shared" si="1"/>
        <v>22</v>
      </c>
      <c r="AB38" s="128">
        <v>45.5</v>
      </c>
    </row>
    <row r="39" spans="1:28" ht="31.5">
      <c r="A39" s="105" t="s">
        <v>130</v>
      </c>
      <c r="B39" s="126" t="s">
        <v>133</v>
      </c>
      <c r="C39" s="128">
        <v>65</v>
      </c>
      <c r="D39" s="108"/>
      <c r="E39" s="108"/>
      <c r="F39" s="125"/>
      <c r="G39" s="110"/>
      <c r="H39" s="111"/>
      <c r="I39" s="112"/>
      <c r="J39" s="108"/>
      <c r="K39" s="128">
        <v>65</v>
      </c>
      <c r="L39" s="113">
        <v>34</v>
      </c>
      <c r="M39" s="114"/>
      <c r="N39" s="113">
        <v>42</v>
      </c>
      <c r="O39" s="115"/>
      <c r="P39" s="116">
        <v>8</v>
      </c>
      <c r="Q39" s="117">
        <v>10</v>
      </c>
      <c r="R39" s="117">
        <v>12</v>
      </c>
      <c r="S39" s="118">
        <v>8</v>
      </c>
      <c r="T39" s="119">
        <f t="shared" si="0"/>
        <v>38</v>
      </c>
      <c r="U39" s="120">
        <v>16</v>
      </c>
      <c r="V39" s="106">
        <v>34</v>
      </c>
      <c r="W39" s="106"/>
      <c r="X39" s="106"/>
      <c r="Y39" s="106"/>
      <c r="Z39" s="121"/>
      <c r="AA39" s="114">
        <f t="shared" si="1"/>
        <v>50</v>
      </c>
      <c r="AB39" s="128">
        <v>65</v>
      </c>
    </row>
    <row r="40" spans="1:28" ht="21">
      <c r="A40" s="105" t="s">
        <v>131</v>
      </c>
      <c r="B40" s="126" t="s">
        <v>133</v>
      </c>
      <c r="C40" s="129">
        <v>61</v>
      </c>
      <c r="D40" s="108"/>
      <c r="E40" s="108"/>
      <c r="F40" s="125"/>
      <c r="G40" s="110"/>
      <c r="H40" s="111"/>
      <c r="I40" s="112"/>
      <c r="J40" s="108"/>
      <c r="K40" s="129">
        <v>61</v>
      </c>
      <c r="L40" s="113">
        <v>68</v>
      </c>
      <c r="M40" s="114"/>
      <c r="N40" s="113">
        <v>14</v>
      </c>
      <c r="O40" s="115"/>
      <c r="P40" s="116">
        <v>18</v>
      </c>
      <c r="Q40" s="117">
        <v>16</v>
      </c>
      <c r="R40" s="117">
        <v>18</v>
      </c>
      <c r="S40" s="118">
        <v>16</v>
      </c>
      <c r="T40" s="119">
        <f t="shared" si="0"/>
        <v>68</v>
      </c>
      <c r="U40" s="120">
        <v>8</v>
      </c>
      <c r="V40" s="106">
        <v>6</v>
      </c>
      <c r="W40" s="106"/>
      <c r="X40" s="106"/>
      <c r="Y40" s="106"/>
      <c r="Z40" s="121"/>
      <c r="AA40" s="114">
        <f t="shared" si="1"/>
        <v>14</v>
      </c>
      <c r="AB40" s="129">
        <v>61</v>
      </c>
    </row>
    <row r="41" spans="1:28" ht="21">
      <c r="A41" s="105" t="s">
        <v>132</v>
      </c>
      <c r="B41" s="126" t="s">
        <v>133</v>
      </c>
      <c r="C41" s="127">
        <v>19</v>
      </c>
      <c r="D41" s="108"/>
      <c r="E41" s="108"/>
      <c r="F41" s="125"/>
      <c r="G41" s="110"/>
      <c r="H41" s="111"/>
      <c r="I41" s="112"/>
      <c r="J41" s="108"/>
      <c r="K41" s="127">
        <v>19</v>
      </c>
      <c r="L41" s="113"/>
      <c r="M41" s="114"/>
      <c r="N41" s="113">
        <v>23</v>
      </c>
      <c r="O41" s="115"/>
      <c r="P41" s="122"/>
      <c r="Q41" s="123"/>
      <c r="R41" s="123"/>
      <c r="S41" s="124"/>
      <c r="T41" s="119">
        <f t="shared" si="0"/>
        <v>0</v>
      </c>
      <c r="U41" s="120"/>
      <c r="V41" s="106"/>
      <c r="W41" s="106"/>
      <c r="X41" s="106"/>
      <c r="Y41" s="106"/>
      <c r="Z41" s="121"/>
      <c r="AA41" s="114">
        <f t="shared" si="1"/>
        <v>0</v>
      </c>
      <c r="AB41" s="127">
        <v>19</v>
      </c>
    </row>
    <row r="42" spans="1:28" ht="21">
      <c r="A42" s="105" t="s">
        <v>124</v>
      </c>
      <c r="B42" s="126" t="s">
        <v>133</v>
      </c>
      <c r="C42" s="107">
        <v>6</v>
      </c>
      <c r="D42" s="108"/>
      <c r="E42" s="108"/>
      <c r="F42" s="125"/>
      <c r="G42" s="110"/>
      <c r="H42" s="111"/>
      <c r="I42" s="112"/>
      <c r="J42" s="108"/>
      <c r="K42" s="107">
        <v>6</v>
      </c>
      <c r="L42" s="113"/>
      <c r="M42" s="114"/>
      <c r="N42" s="113">
        <v>144</v>
      </c>
      <c r="O42" s="115"/>
      <c r="P42" s="122"/>
      <c r="Q42" s="123"/>
      <c r="R42" s="123"/>
      <c r="S42" s="124"/>
      <c r="T42" s="119">
        <f t="shared" si="0"/>
        <v>0</v>
      </c>
      <c r="U42" s="120"/>
      <c r="V42" s="106"/>
      <c r="W42" s="106"/>
      <c r="X42" s="106"/>
      <c r="Y42" s="106"/>
      <c r="Z42" s="121"/>
      <c r="AA42" s="114">
        <f t="shared" si="1"/>
        <v>0</v>
      </c>
      <c r="AB42" s="107">
        <v>6</v>
      </c>
    </row>
    <row r="43" spans="1:28">
      <c r="A43" s="37" t="s">
        <v>34</v>
      </c>
      <c r="B43" s="94" t="s">
        <v>35</v>
      </c>
      <c r="C43" s="16">
        <f>C45-C44</f>
        <v>1269</v>
      </c>
      <c r="D43" s="130"/>
      <c r="E43" s="130"/>
      <c r="F43" s="130"/>
      <c r="G43" s="130"/>
      <c r="H43" s="130"/>
      <c r="I43" s="130"/>
      <c r="J43" s="130"/>
      <c r="K43" s="16">
        <f>K45-K44</f>
        <v>1357</v>
      </c>
      <c r="L43" s="131"/>
      <c r="M43" s="132"/>
      <c r="N43" s="132"/>
      <c r="O43" s="133"/>
      <c r="P43" s="130"/>
      <c r="Q43" s="130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16">
        <f>AB45-AB44</f>
        <v>1357</v>
      </c>
    </row>
    <row r="44" spans="1:28">
      <c r="A44" s="37" t="s">
        <v>34</v>
      </c>
      <c r="B44" s="19" t="s">
        <v>36</v>
      </c>
      <c r="C44" s="8">
        <f>SUM(C8:C11)</f>
        <v>166</v>
      </c>
      <c r="D44" s="9"/>
      <c r="E44" s="9"/>
      <c r="F44" s="9"/>
      <c r="G44" s="9"/>
      <c r="H44" s="9"/>
      <c r="I44" s="9"/>
      <c r="J44" s="9"/>
      <c r="K44" s="8">
        <f>K8+K9</f>
        <v>78</v>
      </c>
      <c r="L44" s="17"/>
      <c r="M44" s="18"/>
      <c r="N44" s="18"/>
      <c r="O44" s="10"/>
      <c r="P44" s="9"/>
      <c r="Q44" s="9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8">
        <f>AB8+AB9</f>
        <v>78</v>
      </c>
    </row>
    <row r="45" spans="1:28">
      <c r="A45" s="49" t="s">
        <v>37</v>
      </c>
      <c r="B45" s="49"/>
      <c r="C45" s="47">
        <f t="shared" ref="C45:AB45" si="2">SUM(C8:C42)</f>
        <v>1435</v>
      </c>
      <c r="D45" s="47">
        <f t="shared" si="2"/>
        <v>0</v>
      </c>
      <c r="E45" s="47">
        <f t="shared" si="2"/>
        <v>0</v>
      </c>
      <c r="F45" s="47">
        <f t="shared" si="2"/>
        <v>0</v>
      </c>
      <c r="G45" s="47">
        <f t="shared" si="2"/>
        <v>0</v>
      </c>
      <c r="H45" s="47">
        <f t="shared" si="2"/>
        <v>0</v>
      </c>
      <c r="I45" s="47">
        <f t="shared" si="2"/>
        <v>0</v>
      </c>
      <c r="J45" s="47">
        <f t="shared" si="2"/>
        <v>0</v>
      </c>
      <c r="K45" s="47">
        <f t="shared" si="2"/>
        <v>1435</v>
      </c>
      <c r="L45" s="47">
        <f t="shared" si="2"/>
        <v>934</v>
      </c>
      <c r="M45" s="47">
        <f t="shared" si="2"/>
        <v>0</v>
      </c>
      <c r="N45" s="47">
        <f t="shared" si="2"/>
        <v>966</v>
      </c>
      <c r="O45" s="47">
        <f t="shared" si="2"/>
        <v>0</v>
      </c>
      <c r="P45" s="47">
        <f t="shared" si="2"/>
        <v>216</v>
      </c>
      <c r="Q45" s="47">
        <f t="shared" si="2"/>
        <v>234</v>
      </c>
      <c r="R45" s="47">
        <f t="shared" si="2"/>
        <v>226</v>
      </c>
      <c r="S45" s="47">
        <f t="shared" si="2"/>
        <v>196</v>
      </c>
      <c r="T45" s="47">
        <f t="shared" si="2"/>
        <v>872</v>
      </c>
      <c r="U45" s="47">
        <f t="shared" si="2"/>
        <v>170</v>
      </c>
      <c r="V45" s="47">
        <f t="shared" si="2"/>
        <v>260</v>
      </c>
      <c r="W45" s="47">
        <f t="shared" si="2"/>
        <v>100</v>
      </c>
      <c r="X45" s="47">
        <f t="shared" si="2"/>
        <v>102</v>
      </c>
      <c r="Y45" s="47">
        <f t="shared" si="2"/>
        <v>98</v>
      </c>
      <c r="Z45" s="47">
        <f t="shared" si="2"/>
        <v>2</v>
      </c>
      <c r="AA45" s="47">
        <f t="shared" si="2"/>
        <v>732</v>
      </c>
      <c r="AB45" s="47">
        <f t="shared" si="2"/>
        <v>1435</v>
      </c>
    </row>
    <row r="46" spans="1:28">
      <c r="A46" s="50"/>
      <c r="B46" s="50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</row>
    <row r="47" spans="1:28">
      <c r="A47" s="6" t="s">
        <v>38</v>
      </c>
      <c r="B47" s="2"/>
      <c r="C47" s="2"/>
      <c r="D47" s="2"/>
      <c r="E47" s="2"/>
      <c r="F47" s="2"/>
      <c r="G47" s="2"/>
      <c r="H47" s="2"/>
      <c r="I47" s="2"/>
      <c r="J47" s="2"/>
      <c r="K47" s="6" t="s">
        <v>39</v>
      </c>
      <c r="L47" s="2"/>
      <c r="M47" s="2"/>
      <c r="N47" s="2"/>
      <c r="O47" s="2"/>
      <c r="P47" s="2"/>
      <c r="Q47" s="2"/>
      <c r="R47" s="2"/>
      <c r="S47" s="6" t="s">
        <v>40</v>
      </c>
      <c r="T47" s="2"/>
      <c r="U47" s="2"/>
      <c r="V47" s="7"/>
      <c r="W47" s="2"/>
      <c r="X47" s="2"/>
      <c r="Y47" s="2"/>
      <c r="Z47" s="2"/>
      <c r="AA47" s="2"/>
      <c r="AB47" s="2"/>
    </row>
    <row r="48" spans="1:28">
      <c r="A48" s="6" t="s">
        <v>41</v>
      </c>
      <c r="B48" s="2"/>
      <c r="C48" s="2"/>
      <c r="D48" s="2"/>
      <c r="E48" s="2"/>
      <c r="F48" s="2"/>
      <c r="G48" s="2"/>
      <c r="H48" s="2"/>
      <c r="I48" s="2"/>
      <c r="J48" s="2"/>
      <c r="K48" s="6" t="s">
        <v>42</v>
      </c>
      <c r="L48" s="2"/>
      <c r="M48" s="2"/>
      <c r="N48" s="2"/>
      <c r="O48" s="2"/>
      <c r="P48" s="2"/>
      <c r="Q48" s="2"/>
      <c r="R48" s="2"/>
      <c r="S48" s="6" t="s">
        <v>43</v>
      </c>
      <c r="T48" s="2"/>
      <c r="U48" s="2"/>
      <c r="V48" s="2"/>
      <c r="W48" s="2"/>
      <c r="X48" s="2"/>
      <c r="Y48" s="2"/>
      <c r="Z48" s="2"/>
      <c r="AA48" s="2"/>
      <c r="AB48" s="2"/>
    </row>
    <row r="49" spans="1:28">
      <c r="A49" s="6" t="s">
        <v>44</v>
      </c>
      <c r="B49" s="2"/>
      <c r="C49" s="2"/>
      <c r="D49" s="2"/>
      <c r="E49" s="2"/>
      <c r="F49" s="2"/>
      <c r="G49" s="2"/>
      <c r="H49" s="2"/>
      <c r="I49" s="2"/>
      <c r="J49" s="2"/>
      <c r="K49" s="6" t="s">
        <v>45</v>
      </c>
      <c r="L49" s="2"/>
      <c r="M49" s="2"/>
      <c r="N49" s="2"/>
      <c r="O49" s="2"/>
      <c r="P49" s="2"/>
      <c r="Q49" s="2"/>
      <c r="R49" s="2"/>
      <c r="S49" s="6" t="s">
        <v>46</v>
      </c>
      <c r="T49" s="2"/>
      <c r="U49" s="2"/>
      <c r="V49" s="2"/>
      <c r="W49" s="2"/>
      <c r="X49" s="2"/>
      <c r="Y49" s="2"/>
      <c r="Z49" s="2"/>
      <c r="AA49" s="2"/>
      <c r="AB49" s="2"/>
    </row>
    <row r="50" spans="1:28">
      <c r="A50" s="2"/>
      <c r="B50" s="2"/>
      <c r="C50" s="6" t="s">
        <v>47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Q50" s="2"/>
      <c r="R50" s="2"/>
      <c r="S50" s="6" t="s">
        <v>48</v>
      </c>
      <c r="T50" s="2"/>
      <c r="U50" s="2"/>
      <c r="V50" s="2"/>
      <c r="W50" s="2"/>
      <c r="X50" s="2"/>
      <c r="Y50" s="2"/>
      <c r="Z50" s="2"/>
      <c r="AA50" s="2"/>
      <c r="AB50" s="2"/>
    </row>
    <row r="51" spans="1:28">
      <c r="A51" s="2"/>
      <c r="B51" s="2"/>
      <c r="C51" s="6" t="s">
        <v>49</v>
      </c>
      <c r="E51" s="2"/>
      <c r="F51" s="2"/>
      <c r="G51" s="2"/>
      <c r="H51" s="2"/>
      <c r="I51" s="2" t="s">
        <v>50</v>
      </c>
      <c r="K51" s="2"/>
      <c r="L51" s="2"/>
      <c r="M51" s="2"/>
      <c r="N51" s="2"/>
      <c r="O51" s="2"/>
      <c r="Q51" s="2"/>
      <c r="R51" s="2"/>
      <c r="S51" s="2" t="s">
        <v>51</v>
      </c>
      <c r="T51" s="2"/>
      <c r="U51" s="2"/>
      <c r="V51" s="2"/>
      <c r="W51" s="2"/>
      <c r="X51" s="2"/>
      <c r="Y51" s="2"/>
      <c r="AA51" s="2"/>
      <c r="AB51" s="2"/>
    </row>
    <row r="52" spans="1:28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Q52" s="2"/>
      <c r="R52" s="2"/>
      <c r="S52" s="6" t="s">
        <v>52</v>
      </c>
      <c r="T52" s="2"/>
      <c r="U52" s="2"/>
      <c r="V52" s="2"/>
      <c r="X52" s="2"/>
      <c r="Y52" s="2"/>
      <c r="AA52" s="2" t="s">
        <v>134</v>
      </c>
      <c r="AB52" s="2"/>
    </row>
  </sheetData>
  <mergeCells count="55">
    <mergeCell ref="AB45:AB46"/>
    <mergeCell ref="V45:V46"/>
    <mergeCell ref="W45:W46"/>
    <mergeCell ref="X45:X46"/>
    <mergeCell ref="Y45:Y46"/>
    <mergeCell ref="Z45:Z46"/>
    <mergeCell ref="AA45:AA46"/>
    <mergeCell ref="P45:P46"/>
    <mergeCell ref="Q45:Q46"/>
    <mergeCell ref="R45:R46"/>
    <mergeCell ref="S45:S46"/>
    <mergeCell ref="T45:T46"/>
    <mergeCell ref="U45:U46"/>
    <mergeCell ref="J45:J46"/>
    <mergeCell ref="K45:K46"/>
    <mergeCell ref="L45:L46"/>
    <mergeCell ref="M45:M46"/>
    <mergeCell ref="N45:N46"/>
    <mergeCell ref="O45:O46"/>
    <mergeCell ref="U6:Z6"/>
    <mergeCell ref="A45:A46"/>
    <mergeCell ref="B45:B46"/>
    <mergeCell ref="C45:C46"/>
    <mergeCell ref="D45:D46"/>
    <mergeCell ref="E45:E46"/>
    <mergeCell ref="F45:F46"/>
    <mergeCell ref="G45:G46"/>
    <mergeCell ref="H45:H46"/>
    <mergeCell ref="I45:I46"/>
    <mergeCell ref="G6:G7"/>
    <mergeCell ref="H6:H7"/>
    <mergeCell ref="I6:I7"/>
    <mergeCell ref="L6:M6"/>
    <mergeCell ref="N6:O6"/>
    <mergeCell ref="P6:S6"/>
    <mergeCell ref="AB4:AB7"/>
    <mergeCell ref="D5:D7"/>
    <mergeCell ref="E5:E7"/>
    <mergeCell ref="F5:F7"/>
    <mergeCell ref="G5:I5"/>
    <mergeCell ref="J5:J7"/>
    <mergeCell ref="P5:S5"/>
    <mergeCell ref="T5:T7"/>
    <mergeCell ref="U5:Z5"/>
    <mergeCell ref="AA5:AA7"/>
    <mergeCell ref="A1:AB1"/>
    <mergeCell ref="A3:AB3"/>
    <mergeCell ref="A4:A7"/>
    <mergeCell ref="B4:B7"/>
    <mergeCell ref="C4:C7"/>
    <mergeCell ref="D4:F4"/>
    <mergeCell ref="G4:J4"/>
    <mergeCell ref="K4:K7"/>
    <mergeCell ref="L4:O5"/>
    <mergeCell ref="P4:AA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pageSetUpPr fitToPage="1"/>
  </sheetPr>
  <dimension ref="A1:AB31"/>
  <sheetViews>
    <sheetView zoomScaleNormal="100" workbookViewId="0">
      <selection activeCell="W35" sqref="W35"/>
    </sheetView>
  </sheetViews>
  <sheetFormatPr defaultRowHeight="15"/>
  <cols>
    <col min="1" max="1" width="31.42578125" customWidth="1"/>
    <col min="2" max="2" width="14.5703125" customWidth="1"/>
    <col min="3" max="3" width="6.140625" customWidth="1"/>
    <col min="4" max="6" width="5.28515625" customWidth="1"/>
    <col min="7" max="9" width="5.85546875" customWidth="1"/>
    <col min="10" max="10" width="5" customWidth="1"/>
    <col min="11" max="11" width="5.5703125" customWidth="1"/>
    <col min="12" max="15" width="5.42578125" customWidth="1"/>
    <col min="16" max="19" width="6" customWidth="1"/>
    <col min="20" max="20" width="6.140625" customWidth="1"/>
    <col min="21" max="26" width="5.7109375" customWidth="1"/>
    <col min="27" max="27" width="7" customWidth="1"/>
    <col min="28" max="28" width="11.140625" customWidth="1"/>
  </cols>
  <sheetData>
    <row r="1" spans="1:28" ht="18.7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>
      <c r="A2" s="38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5.75">
      <c r="A3" s="43" t="s">
        <v>76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>
      <c r="A4" s="44" t="s">
        <v>1</v>
      </c>
      <c r="B4" s="45" t="s">
        <v>2</v>
      </c>
      <c r="C4" s="46" t="s">
        <v>3</v>
      </c>
      <c r="D4" s="45" t="s">
        <v>4</v>
      </c>
      <c r="E4" s="45"/>
      <c r="F4" s="45"/>
      <c r="G4" s="45" t="s">
        <v>5</v>
      </c>
      <c r="H4" s="45"/>
      <c r="I4" s="45"/>
      <c r="J4" s="45"/>
      <c r="K4" s="46" t="s">
        <v>6</v>
      </c>
      <c r="L4" s="45" t="s">
        <v>7</v>
      </c>
      <c r="M4" s="45"/>
      <c r="N4" s="45"/>
      <c r="O4" s="45"/>
      <c r="P4" s="45" t="s">
        <v>8</v>
      </c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 t="s">
        <v>9</v>
      </c>
    </row>
    <row r="5" spans="1:28" ht="20.25" customHeight="1">
      <c r="A5" s="44"/>
      <c r="B5" s="45"/>
      <c r="C5" s="46"/>
      <c r="D5" s="46" t="s">
        <v>10</v>
      </c>
      <c r="E5" s="46" t="s">
        <v>55</v>
      </c>
      <c r="F5" s="46" t="s">
        <v>56</v>
      </c>
      <c r="G5" s="45" t="s">
        <v>12</v>
      </c>
      <c r="H5" s="45"/>
      <c r="I5" s="45"/>
      <c r="J5" s="46" t="s">
        <v>13</v>
      </c>
      <c r="K5" s="46"/>
      <c r="L5" s="45"/>
      <c r="M5" s="45"/>
      <c r="N5" s="45"/>
      <c r="O5" s="45"/>
      <c r="P5" s="45" t="s">
        <v>14</v>
      </c>
      <c r="Q5" s="45"/>
      <c r="R5" s="45"/>
      <c r="S5" s="45"/>
      <c r="T5" s="46" t="s">
        <v>15</v>
      </c>
      <c r="U5" s="45" t="s">
        <v>16</v>
      </c>
      <c r="V5" s="45"/>
      <c r="W5" s="45"/>
      <c r="X5" s="45"/>
      <c r="Y5" s="45"/>
      <c r="Z5" s="45"/>
      <c r="AA5" s="46" t="s">
        <v>15</v>
      </c>
      <c r="AB5" s="45"/>
    </row>
    <row r="6" spans="1:28">
      <c r="A6" s="44"/>
      <c r="B6" s="45"/>
      <c r="C6" s="46"/>
      <c r="D6" s="46"/>
      <c r="E6" s="46"/>
      <c r="F6" s="46"/>
      <c r="G6" s="46" t="s">
        <v>11</v>
      </c>
      <c r="H6" s="46" t="s">
        <v>17</v>
      </c>
      <c r="I6" s="46" t="s">
        <v>18</v>
      </c>
      <c r="J6" s="46"/>
      <c r="K6" s="46"/>
      <c r="L6" s="45" t="s">
        <v>19</v>
      </c>
      <c r="M6" s="45"/>
      <c r="N6" s="45" t="s">
        <v>20</v>
      </c>
      <c r="O6" s="45"/>
      <c r="P6" s="45" t="s">
        <v>21</v>
      </c>
      <c r="Q6" s="45"/>
      <c r="R6" s="45"/>
      <c r="S6" s="45"/>
      <c r="T6" s="46"/>
      <c r="U6" s="45" t="s">
        <v>21</v>
      </c>
      <c r="V6" s="45"/>
      <c r="W6" s="45"/>
      <c r="X6" s="45"/>
      <c r="Y6" s="45"/>
      <c r="Z6" s="45"/>
      <c r="AA6" s="46"/>
      <c r="AB6" s="45"/>
    </row>
    <row r="7" spans="1:28" ht="53.25" customHeight="1">
      <c r="A7" s="44"/>
      <c r="B7" s="45"/>
      <c r="C7" s="46"/>
      <c r="D7" s="46"/>
      <c r="E7" s="46"/>
      <c r="F7" s="46"/>
      <c r="G7" s="46"/>
      <c r="H7" s="46"/>
      <c r="I7" s="46"/>
      <c r="J7" s="46"/>
      <c r="K7" s="46"/>
      <c r="L7" s="39" t="s">
        <v>22</v>
      </c>
      <c r="M7" s="39" t="s">
        <v>23</v>
      </c>
      <c r="N7" s="39" t="s">
        <v>22</v>
      </c>
      <c r="O7" s="39" t="s">
        <v>23</v>
      </c>
      <c r="P7" s="39" t="s">
        <v>24</v>
      </c>
      <c r="Q7" s="39" t="s">
        <v>25</v>
      </c>
      <c r="R7" s="39" t="s">
        <v>26</v>
      </c>
      <c r="S7" s="39" t="s">
        <v>27</v>
      </c>
      <c r="T7" s="46"/>
      <c r="U7" s="39" t="s">
        <v>28</v>
      </c>
      <c r="V7" s="39" t="s">
        <v>29</v>
      </c>
      <c r="W7" s="39" t="s">
        <v>30</v>
      </c>
      <c r="X7" s="39" t="s">
        <v>31</v>
      </c>
      <c r="Y7" s="39" t="s">
        <v>32</v>
      </c>
      <c r="Z7" s="39" t="s">
        <v>33</v>
      </c>
      <c r="AA7" s="46"/>
      <c r="AB7" s="45"/>
    </row>
    <row r="8" spans="1:28">
      <c r="A8" s="29"/>
      <c r="B8" s="27"/>
      <c r="C8" s="26"/>
      <c r="D8" s="25"/>
      <c r="E8" s="3"/>
      <c r="F8" s="3"/>
      <c r="G8" s="4"/>
      <c r="H8" s="32"/>
      <c r="I8" s="33"/>
      <c r="J8" s="3"/>
      <c r="K8" s="26"/>
      <c r="L8" s="13"/>
      <c r="M8" s="11"/>
      <c r="N8" s="13"/>
      <c r="O8" s="12"/>
      <c r="P8" s="30"/>
      <c r="Q8" s="30"/>
      <c r="R8" s="30"/>
      <c r="S8" s="30"/>
      <c r="T8" s="11"/>
      <c r="U8" s="27"/>
      <c r="V8" s="27"/>
      <c r="W8" s="27"/>
      <c r="X8" s="27"/>
      <c r="Y8" s="27"/>
      <c r="Z8" s="27"/>
      <c r="AA8" s="11"/>
      <c r="AB8" s="25"/>
    </row>
    <row r="9" spans="1:28">
      <c r="A9" s="29"/>
      <c r="B9" s="27"/>
      <c r="C9" s="26"/>
      <c r="D9" s="25"/>
      <c r="E9" s="3"/>
      <c r="F9" s="3"/>
      <c r="G9" s="4"/>
      <c r="H9" s="32"/>
      <c r="I9" s="33"/>
      <c r="J9" s="3"/>
      <c r="K9" s="26"/>
      <c r="L9" s="13"/>
      <c r="M9" s="11"/>
      <c r="N9" s="13"/>
      <c r="O9" s="12"/>
      <c r="P9" s="31"/>
      <c r="Q9" s="31"/>
      <c r="R9" s="31"/>
      <c r="S9" s="31"/>
      <c r="T9" s="11"/>
      <c r="U9" s="27"/>
      <c r="V9" s="27"/>
      <c r="W9" s="27"/>
      <c r="X9" s="27"/>
      <c r="Y9" s="27"/>
      <c r="Z9" s="27"/>
      <c r="AA9" s="11"/>
      <c r="AB9" s="25"/>
    </row>
    <row r="10" spans="1:28">
      <c r="A10" s="29"/>
      <c r="B10" s="27"/>
      <c r="C10" s="26"/>
      <c r="D10" s="25"/>
      <c r="E10" s="3"/>
      <c r="F10" s="3"/>
      <c r="G10" s="4"/>
      <c r="H10" s="32"/>
      <c r="I10" s="33"/>
      <c r="J10" s="3"/>
      <c r="K10" s="26"/>
      <c r="L10" s="13"/>
      <c r="M10" s="11"/>
      <c r="N10" s="13"/>
      <c r="O10" s="12"/>
      <c r="P10" s="30"/>
      <c r="Q10" s="30"/>
      <c r="R10" s="30"/>
      <c r="S10" s="30"/>
      <c r="T10" s="11"/>
      <c r="U10" s="27"/>
      <c r="V10" s="27"/>
      <c r="W10" s="27"/>
      <c r="X10" s="27"/>
      <c r="Y10" s="27"/>
      <c r="Z10" s="27"/>
      <c r="AA10" s="11"/>
      <c r="AB10" s="25"/>
    </row>
    <row r="11" spans="1:28">
      <c r="A11" s="29"/>
      <c r="B11" s="27"/>
      <c r="C11" s="26"/>
      <c r="D11" s="25"/>
      <c r="E11" s="3"/>
      <c r="F11" s="3"/>
      <c r="G11" s="4"/>
      <c r="H11" s="32"/>
      <c r="I11" s="33"/>
      <c r="J11" s="3"/>
      <c r="K11" s="26"/>
      <c r="L11" s="13"/>
      <c r="M11" s="11"/>
      <c r="N11" s="13"/>
      <c r="O11" s="12"/>
      <c r="P11" s="31"/>
      <c r="Q11" s="31"/>
      <c r="R11" s="31"/>
      <c r="S11" s="31"/>
      <c r="T11" s="11"/>
      <c r="U11" s="27"/>
      <c r="V11" s="27"/>
      <c r="W11" s="27"/>
      <c r="X11" s="27"/>
      <c r="Y11" s="27"/>
      <c r="Z11" s="27"/>
      <c r="AA11" s="11"/>
      <c r="AB11" s="25"/>
    </row>
    <row r="12" spans="1:28">
      <c r="A12" s="29"/>
      <c r="B12" s="27"/>
      <c r="C12" s="26"/>
      <c r="D12" s="25"/>
      <c r="E12" s="3"/>
      <c r="F12" s="3"/>
      <c r="G12" s="4"/>
      <c r="H12" s="32"/>
      <c r="I12" s="33"/>
      <c r="J12" s="3"/>
      <c r="K12" s="26"/>
      <c r="L12" s="13"/>
      <c r="M12" s="11"/>
      <c r="N12" s="13"/>
      <c r="O12" s="12"/>
      <c r="P12" s="31"/>
      <c r="Q12" s="31"/>
      <c r="R12" s="31"/>
      <c r="S12" s="31"/>
      <c r="T12" s="11"/>
      <c r="U12" s="27"/>
      <c r="V12" s="27"/>
      <c r="W12" s="27"/>
      <c r="X12" s="27"/>
      <c r="Y12" s="27"/>
      <c r="Z12" s="27"/>
      <c r="AA12" s="11"/>
      <c r="AB12" s="25"/>
    </row>
    <row r="13" spans="1:28">
      <c r="A13" s="29"/>
      <c r="B13" s="27"/>
      <c r="C13" s="26"/>
      <c r="D13" s="25"/>
      <c r="E13" s="3"/>
      <c r="F13" s="3"/>
      <c r="G13" s="4"/>
      <c r="H13" s="32"/>
      <c r="I13" s="33"/>
      <c r="J13" s="3"/>
      <c r="K13" s="26"/>
      <c r="L13" s="13"/>
      <c r="M13" s="11"/>
      <c r="N13" s="13"/>
      <c r="O13" s="12"/>
      <c r="P13" s="31"/>
      <c r="Q13" s="31"/>
      <c r="R13" s="31"/>
      <c r="S13" s="31"/>
      <c r="T13" s="11"/>
      <c r="U13" s="27"/>
      <c r="V13" s="27"/>
      <c r="W13" s="27"/>
      <c r="X13" s="27"/>
      <c r="Y13" s="27"/>
      <c r="Z13" s="27"/>
      <c r="AA13" s="11"/>
      <c r="AB13" s="25"/>
    </row>
    <row r="14" spans="1:28">
      <c r="A14" s="29"/>
      <c r="B14" s="27"/>
      <c r="C14" s="26"/>
      <c r="D14" s="25"/>
      <c r="E14" s="3"/>
      <c r="F14" s="3"/>
      <c r="G14" s="4"/>
      <c r="H14" s="32"/>
      <c r="I14" s="33"/>
      <c r="J14" s="3"/>
      <c r="K14" s="26"/>
      <c r="L14" s="13"/>
      <c r="M14" s="11"/>
      <c r="N14" s="13"/>
      <c r="O14" s="12"/>
      <c r="P14" s="30"/>
      <c r="Q14" s="30"/>
      <c r="R14" s="30"/>
      <c r="S14" s="30"/>
      <c r="T14" s="11"/>
      <c r="U14" s="27"/>
      <c r="V14" s="27"/>
      <c r="W14" s="27"/>
      <c r="X14" s="27"/>
      <c r="Y14" s="27"/>
      <c r="Z14" s="27"/>
      <c r="AA14" s="11"/>
      <c r="AB14" s="25"/>
    </row>
    <row r="15" spans="1:28">
      <c r="A15" s="29"/>
      <c r="B15" s="27"/>
      <c r="C15" s="26"/>
      <c r="D15" s="25"/>
      <c r="E15" s="3"/>
      <c r="F15" s="3"/>
      <c r="G15" s="4"/>
      <c r="H15" s="32"/>
      <c r="I15" s="33"/>
      <c r="J15" s="3"/>
      <c r="K15" s="26"/>
      <c r="L15" s="13"/>
      <c r="M15" s="11"/>
      <c r="N15" s="13"/>
      <c r="O15" s="12"/>
      <c r="P15" s="30"/>
      <c r="Q15" s="30"/>
      <c r="R15" s="30"/>
      <c r="S15" s="30"/>
      <c r="T15" s="11"/>
      <c r="U15" s="27"/>
      <c r="V15" s="27"/>
      <c r="W15" s="27"/>
      <c r="X15" s="27"/>
      <c r="Y15" s="27"/>
      <c r="Z15" s="27"/>
      <c r="AA15" s="11"/>
      <c r="AB15" s="25"/>
    </row>
    <row r="16" spans="1:28">
      <c r="A16" s="29"/>
      <c r="B16" s="27"/>
      <c r="C16" s="26"/>
      <c r="D16" s="25"/>
      <c r="E16" s="3"/>
      <c r="F16" s="3"/>
      <c r="G16" s="4"/>
      <c r="H16" s="32"/>
      <c r="I16" s="33"/>
      <c r="J16" s="3"/>
      <c r="K16" s="26"/>
      <c r="L16" s="13"/>
      <c r="M16" s="11"/>
      <c r="N16" s="13"/>
      <c r="O16" s="12"/>
      <c r="P16" s="31"/>
      <c r="Q16" s="31"/>
      <c r="R16" s="31"/>
      <c r="S16" s="31"/>
      <c r="T16" s="11"/>
      <c r="U16" s="27"/>
      <c r="V16" s="27"/>
      <c r="W16" s="27"/>
      <c r="X16" s="27"/>
      <c r="Y16" s="27"/>
      <c r="Z16" s="27"/>
      <c r="AA16" s="11"/>
      <c r="AB16" s="25"/>
    </row>
    <row r="17" spans="1:28">
      <c r="A17" s="29"/>
      <c r="B17" s="27"/>
      <c r="C17" s="26"/>
      <c r="D17" s="26"/>
      <c r="E17" s="3"/>
      <c r="F17" s="3"/>
      <c r="G17" s="4"/>
      <c r="H17" s="32"/>
      <c r="I17" s="33"/>
      <c r="J17" s="3"/>
      <c r="K17" s="26"/>
      <c r="L17" s="13"/>
      <c r="M17" s="11"/>
      <c r="N17" s="13"/>
      <c r="O17" s="12"/>
      <c r="P17" s="31"/>
      <c r="Q17" s="31"/>
      <c r="R17" s="31"/>
      <c r="S17" s="31"/>
      <c r="T17" s="11"/>
      <c r="U17" s="27"/>
      <c r="V17" s="27"/>
      <c r="W17" s="27"/>
      <c r="X17" s="27"/>
      <c r="Y17" s="27"/>
      <c r="Z17" s="27"/>
      <c r="AA17" s="11"/>
      <c r="AB17" s="25"/>
    </row>
    <row r="18" spans="1:28">
      <c r="A18" s="29"/>
      <c r="B18" s="27"/>
      <c r="C18" s="26"/>
      <c r="D18" s="26"/>
      <c r="E18" s="26"/>
      <c r="F18" s="23"/>
      <c r="G18" s="14"/>
      <c r="H18" s="22"/>
      <c r="I18" s="26"/>
      <c r="J18" s="23"/>
      <c r="K18" s="26"/>
      <c r="L18" s="13"/>
      <c r="M18" s="11"/>
      <c r="N18" s="13"/>
      <c r="O18" s="12"/>
      <c r="P18" s="30"/>
      <c r="Q18" s="30"/>
      <c r="R18" s="30"/>
      <c r="S18" s="30"/>
      <c r="T18" s="11"/>
      <c r="U18" s="27"/>
      <c r="V18" s="27"/>
      <c r="W18" s="27"/>
      <c r="X18" s="27"/>
      <c r="Y18" s="27"/>
      <c r="Z18" s="27"/>
      <c r="AA18" s="11"/>
      <c r="AB18" s="25"/>
    </row>
    <row r="19" spans="1:28">
      <c r="A19" s="29"/>
      <c r="B19" s="27"/>
      <c r="C19" s="26"/>
      <c r="D19" s="26"/>
      <c r="E19" s="26"/>
      <c r="F19" s="23"/>
      <c r="G19" s="14"/>
      <c r="H19" s="22"/>
      <c r="I19" s="26"/>
      <c r="J19" s="23"/>
      <c r="K19" s="26"/>
      <c r="L19" s="13"/>
      <c r="M19" s="11"/>
      <c r="N19" s="13"/>
      <c r="O19" s="12"/>
      <c r="P19" s="30"/>
      <c r="Q19" s="30"/>
      <c r="R19" s="30"/>
      <c r="S19" s="30"/>
      <c r="T19" s="11"/>
      <c r="U19" s="27"/>
      <c r="V19" s="27"/>
      <c r="W19" s="27"/>
      <c r="X19" s="27"/>
      <c r="Y19" s="27"/>
      <c r="Z19" s="27"/>
      <c r="AA19" s="11"/>
      <c r="AB19" s="25"/>
    </row>
    <row r="20" spans="1:28">
      <c r="A20" s="29"/>
      <c r="B20" s="28"/>
      <c r="C20" s="26"/>
      <c r="D20" s="23"/>
      <c r="E20" s="23"/>
      <c r="F20" s="23"/>
      <c r="G20" s="14"/>
      <c r="H20" s="22"/>
      <c r="I20" s="34"/>
      <c r="J20" s="23"/>
      <c r="K20" s="26"/>
      <c r="L20" s="13"/>
      <c r="M20" s="11"/>
      <c r="N20" s="13"/>
      <c r="O20" s="12"/>
      <c r="P20" s="30"/>
      <c r="Q20" s="30"/>
      <c r="R20" s="30"/>
      <c r="S20" s="30"/>
      <c r="T20" s="11"/>
      <c r="U20" s="27"/>
      <c r="V20" s="27"/>
      <c r="W20" s="27"/>
      <c r="X20" s="27"/>
      <c r="Y20" s="27"/>
      <c r="Z20" s="27"/>
      <c r="AA20" s="11"/>
      <c r="AB20" s="25"/>
    </row>
    <row r="21" spans="1:28">
      <c r="A21" s="29"/>
      <c r="B21" s="28"/>
      <c r="C21" s="26"/>
      <c r="D21" s="24"/>
      <c r="E21" s="26"/>
      <c r="F21" s="24"/>
      <c r="G21" s="14"/>
      <c r="H21" s="22"/>
      <c r="I21" s="34"/>
      <c r="J21" s="23"/>
      <c r="K21" s="26"/>
      <c r="L21" s="13"/>
      <c r="M21" s="11"/>
      <c r="N21" s="13"/>
      <c r="O21" s="12"/>
      <c r="P21" s="30"/>
      <c r="Q21" s="30"/>
      <c r="R21" s="30"/>
      <c r="S21" s="30"/>
      <c r="T21" s="11"/>
      <c r="U21" s="27"/>
      <c r="V21" s="27"/>
      <c r="W21" s="27"/>
      <c r="X21" s="27"/>
      <c r="Y21" s="27"/>
      <c r="Z21" s="27"/>
      <c r="AA21" s="11"/>
      <c r="AB21" s="25"/>
    </row>
    <row r="22" spans="1:28">
      <c r="A22" s="37" t="s">
        <v>34</v>
      </c>
      <c r="B22" s="19" t="s">
        <v>35</v>
      </c>
      <c r="C22" s="16">
        <f>C8+C9+C10+C11+C18</f>
        <v>0</v>
      </c>
      <c r="D22" s="9"/>
      <c r="E22" s="9"/>
      <c r="F22" s="9"/>
      <c r="G22" s="9"/>
      <c r="H22" s="9"/>
      <c r="I22" s="9"/>
      <c r="J22" s="9"/>
      <c r="K22" s="16">
        <f>K8+K9+K10+K11+K18</f>
        <v>0</v>
      </c>
      <c r="L22" s="17"/>
      <c r="M22" s="18"/>
      <c r="N22" s="18"/>
      <c r="O22" s="10"/>
      <c r="P22" s="9"/>
      <c r="Q22" s="9"/>
      <c r="R22" s="35"/>
      <c r="S22" s="35"/>
      <c r="T22" s="35"/>
      <c r="U22" s="35"/>
      <c r="V22" s="35"/>
      <c r="W22" s="35"/>
      <c r="X22" s="35"/>
      <c r="Y22" s="35"/>
      <c r="Z22" s="35"/>
      <c r="AA22" s="36"/>
      <c r="AB22" s="16">
        <f>AB8+AB9+AB10+AB11+AB18</f>
        <v>0</v>
      </c>
    </row>
    <row r="23" spans="1:28">
      <c r="A23" s="37" t="s">
        <v>34</v>
      </c>
      <c r="B23" s="19" t="s">
        <v>36</v>
      </c>
      <c r="C23" s="8">
        <f>C24-C22</f>
        <v>0</v>
      </c>
      <c r="D23" s="9"/>
      <c r="E23" s="9"/>
      <c r="F23" s="9"/>
      <c r="G23" s="9"/>
      <c r="H23" s="9"/>
      <c r="I23" s="9"/>
      <c r="J23" s="9"/>
      <c r="K23" s="8">
        <f>K24-K22</f>
        <v>0</v>
      </c>
      <c r="L23" s="17"/>
      <c r="M23" s="18"/>
      <c r="N23" s="18"/>
      <c r="O23" s="10"/>
      <c r="P23" s="9"/>
      <c r="Q23" s="9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8">
        <f>AB24-AB22</f>
        <v>0</v>
      </c>
    </row>
    <row r="24" spans="1:28">
      <c r="A24" s="49" t="s">
        <v>37</v>
      </c>
      <c r="B24" s="48"/>
      <c r="C24" s="47">
        <f t="shared" ref="C24:AB24" si="0">SUM(C8:C21)</f>
        <v>0</v>
      </c>
      <c r="D24" s="47">
        <f t="shared" si="0"/>
        <v>0</v>
      </c>
      <c r="E24" s="47">
        <f t="shared" si="0"/>
        <v>0</v>
      </c>
      <c r="F24" s="47">
        <f t="shared" si="0"/>
        <v>0</v>
      </c>
      <c r="G24" s="47">
        <f t="shared" si="0"/>
        <v>0</v>
      </c>
      <c r="H24" s="47">
        <f t="shared" si="0"/>
        <v>0</v>
      </c>
      <c r="I24" s="47">
        <f t="shared" si="0"/>
        <v>0</v>
      </c>
      <c r="J24" s="47">
        <f t="shared" si="0"/>
        <v>0</v>
      </c>
      <c r="K24" s="47">
        <f t="shared" si="0"/>
        <v>0</v>
      </c>
      <c r="L24" s="47">
        <f t="shared" si="0"/>
        <v>0</v>
      </c>
      <c r="M24" s="47">
        <f t="shared" si="0"/>
        <v>0</v>
      </c>
      <c r="N24" s="47">
        <f t="shared" si="0"/>
        <v>0</v>
      </c>
      <c r="O24" s="47">
        <f t="shared" si="0"/>
        <v>0</v>
      </c>
      <c r="P24" s="47">
        <f t="shared" si="0"/>
        <v>0</v>
      </c>
      <c r="Q24" s="47">
        <f t="shared" si="0"/>
        <v>0</v>
      </c>
      <c r="R24" s="47">
        <f t="shared" si="0"/>
        <v>0</v>
      </c>
      <c r="S24" s="47">
        <f t="shared" si="0"/>
        <v>0</v>
      </c>
      <c r="T24" s="47">
        <f t="shared" si="0"/>
        <v>0</v>
      </c>
      <c r="U24" s="47">
        <f t="shared" si="0"/>
        <v>0</v>
      </c>
      <c r="V24" s="47">
        <f t="shared" si="0"/>
        <v>0</v>
      </c>
      <c r="W24" s="47">
        <f t="shared" si="0"/>
        <v>0</v>
      </c>
      <c r="X24" s="47">
        <f t="shared" si="0"/>
        <v>0</v>
      </c>
      <c r="Y24" s="47">
        <f t="shared" si="0"/>
        <v>0</v>
      </c>
      <c r="Z24" s="47">
        <f t="shared" si="0"/>
        <v>0</v>
      </c>
      <c r="AA24" s="47">
        <f t="shared" si="0"/>
        <v>0</v>
      </c>
      <c r="AB24" s="47">
        <f t="shared" si="0"/>
        <v>0</v>
      </c>
    </row>
    <row r="25" spans="1:28">
      <c r="A25" s="50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</row>
    <row r="26" spans="1:28">
      <c r="A26" s="6" t="s">
        <v>38</v>
      </c>
      <c r="B26" s="2"/>
      <c r="C26" s="2"/>
      <c r="D26" s="2"/>
      <c r="E26" s="2"/>
      <c r="F26" s="2"/>
      <c r="G26" s="2"/>
      <c r="H26" s="2"/>
      <c r="I26" s="2"/>
      <c r="J26" s="2"/>
      <c r="K26" s="6" t="s">
        <v>39</v>
      </c>
      <c r="L26" s="2"/>
      <c r="M26" s="2"/>
      <c r="N26" s="2"/>
      <c r="O26" s="2"/>
      <c r="P26" s="2"/>
      <c r="Q26" s="2"/>
      <c r="R26" s="2"/>
      <c r="S26" s="6" t="s">
        <v>40</v>
      </c>
      <c r="T26" s="2"/>
      <c r="U26" s="2"/>
      <c r="V26" s="7"/>
      <c r="W26" s="2"/>
      <c r="X26" s="2"/>
      <c r="Y26" s="2"/>
      <c r="Z26" s="2"/>
      <c r="AA26" s="2"/>
      <c r="AB26" s="2"/>
    </row>
    <row r="27" spans="1:28">
      <c r="A27" s="6" t="s">
        <v>41</v>
      </c>
      <c r="B27" s="2"/>
      <c r="C27" s="2"/>
      <c r="D27" s="2"/>
      <c r="E27" s="2"/>
      <c r="F27" s="2"/>
      <c r="G27" s="2"/>
      <c r="H27" s="2"/>
      <c r="I27" s="2"/>
      <c r="J27" s="2"/>
      <c r="K27" s="6" t="s">
        <v>42</v>
      </c>
      <c r="L27" s="2"/>
      <c r="M27" s="2"/>
      <c r="N27" s="2"/>
      <c r="O27" s="2"/>
      <c r="P27" s="2"/>
      <c r="Q27" s="2"/>
      <c r="R27" s="2"/>
      <c r="S27" s="6" t="s">
        <v>43</v>
      </c>
      <c r="T27" s="2"/>
      <c r="U27" s="2"/>
      <c r="V27" s="2"/>
      <c r="W27" s="2"/>
      <c r="X27" s="2"/>
      <c r="Y27" s="2"/>
      <c r="Z27" s="2"/>
      <c r="AA27" s="2"/>
      <c r="AB27" s="2"/>
    </row>
    <row r="28" spans="1:28">
      <c r="A28" s="6" t="s">
        <v>44</v>
      </c>
      <c r="B28" s="2"/>
      <c r="C28" s="2"/>
      <c r="D28" s="2"/>
      <c r="E28" s="2"/>
      <c r="F28" s="2"/>
      <c r="G28" s="2"/>
      <c r="H28" s="2"/>
      <c r="I28" s="2"/>
      <c r="J28" s="2"/>
      <c r="K28" s="6" t="s">
        <v>45</v>
      </c>
      <c r="L28" s="2"/>
      <c r="M28" s="2"/>
      <c r="N28" s="2"/>
      <c r="O28" s="2"/>
      <c r="P28" s="2"/>
      <c r="Q28" s="2"/>
      <c r="R28" s="2"/>
      <c r="S28" s="6" t="s">
        <v>46</v>
      </c>
      <c r="T28" s="2"/>
      <c r="U28" s="2"/>
      <c r="V28" s="2"/>
      <c r="W28" s="2"/>
      <c r="X28" s="2"/>
      <c r="Y28" s="2"/>
      <c r="Z28" s="2"/>
      <c r="AA28" s="2"/>
      <c r="AB28" s="2"/>
    </row>
    <row r="29" spans="1:28">
      <c r="A29" s="2"/>
      <c r="B29" s="2"/>
      <c r="C29" s="6" t="s">
        <v>47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Q29" s="2"/>
      <c r="R29" s="2"/>
      <c r="S29" s="6" t="s">
        <v>48</v>
      </c>
      <c r="T29" s="2"/>
      <c r="U29" s="2"/>
      <c r="V29" s="2"/>
      <c r="W29" s="2"/>
      <c r="X29" s="2"/>
      <c r="Y29" s="2"/>
      <c r="Z29" s="2"/>
      <c r="AA29" s="2"/>
      <c r="AB29" s="2"/>
    </row>
    <row r="30" spans="1:28">
      <c r="A30" s="2"/>
      <c r="B30" s="2"/>
      <c r="C30" s="6" t="s">
        <v>49</v>
      </c>
      <c r="E30" s="2"/>
      <c r="F30" s="2"/>
      <c r="G30" s="2"/>
      <c r="H30" s="2"/>
      <c r="I30" s="2" t="s">
        <v>50</v>
      </c>
      <c r="K30" s="2"/>
      <c r="L30" s="2"/>
      <c r="M30" s="2"/>
      <c r="N30" s="2"/>
      <c r="O30" s="2"/>
      <c r="Q30" s="2"/>
      <c r="R30" s="2"/>
      <c r="S30" s="2" t="s">
        <v>51</v>
      </c>
      <c r="T30" s="2"/>
      <c r="U30" s="2"/>
      <c r="V30" s="2"/>
      <c r="W30" s="2"/>
      <c r="X30" s="2"/>
      <c r="Y30" s="2"/>
      <c r="AA30" s="2"/>
      <c r="AB30" s="2"/>
    </row>
    <row r="31" spans="1:2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Q31" s="2"/>
      <c r="R31" s="2"/>
      <c r="S31" s="6" t="s">
        <v>52</v>
      </c>
      <c r="T31" s="2"/>
      <c r="U31" s="2"/>
      <c r="V31" s="2"/>
      <c r="X31" s="2"/>
      <c r="Y31" s="2"/>
      <c r="AA31" s="2"/>
      <c r="AB31" s="2"/>
    </row>
  </sheetData>
  <mergeCells count="55">
    <mergeCell ref="A1:AB1"/>
    <mergeCell ref="A3:AB3"/>
    <mergeCell ref="A4:A7"/>
    <mergeCell ref="B4:B7"/>
    <mergeCell ref="C4:C7"/>
    <mergeCell ref="D4:F4"/>
    <mergeCell ref="G4:J4"/>
    <mergeCell ref="K4:K7"/>
    <mergeCell ref="L4:O5"/>
    <mergeCell ref="P4:AA4"/>
    <mergeCell ref="AB4:AB7"/>
    <mergeCell ref="D5:D7"/>
    <mergeCell ref="E5:E7"/>
    <mergeCell ref="F5:F7"/>
    <mergeCell ref="G5:I5"/>
    <mergeCell ref="J5:J7"/>
    <mergeCell ref="P5:S5"/>
    <mergeCell ref="T5:T7"/>
    <mergeCell ref="U5:Z5"/>
    <mergeCell ref="AA5:AA7"/>
    <mergeCell ref="U6:Z6"/>
    <mergeCell ref="A24:A25"/>
    <mergeCell ref="B24:B25"/>
    <mergeCell ref="C24:C25"/>
    <mergeCell ref="D24:D25"/>
    <mergeCell ref="E24:E25"/>
    <mergeCell ref="F24:F25"/>
    <mergeCell ref="G24:G25"/>
    <mergeCell ref="H24:H25"/>
    <mergeCell ref="I24:I25"/>
    <mergeCell ref="G6:G7"/>
    <mergeCell ref="H6:H7"/>
    <mergeCell ref="I6:I7"/>
    <mergeCell ref="L6:M6"/>
    <mergeCell ref="N6:O6"/>
    <mergeCell ref="P6:S6"/>
    <mergeCell ref="U24:U25"/>
    <mergeCell ref="J24:J25"/>
    <mergeCell ref="K24:K25"/>
    <mergeCell ref="L24:L25"/>
    <mergeCell ref="M24:M25"/>
    <mergeCell ref="N24:N25"/>
    <mergeCell ref="O24:O25"/>
    <mergeCell ref="P24:P25"/>
    <mergeCell ref="Q24:Q25"/>
    <mergeCell ref="R24:R25"/>
    <mergeCell ref="S24:S25"/>
    <mergeCell ref="T24:T25"/>
    <mergeCell ref="AB24:AB25"/>
    <mergeCell ref="V24:V25"/>
    <mergeCell ref="W24:W25"/>
    <mergeCell ref="X24:X25"/>
    <mergeCell ref="Y24:Y25"/>
    <mergeCell ref="Z24:Z25"/>
    <mergeCell ref="AA24:AA25"/>
  </mergeCells>
  <pageMargins left="0.25" right="0.25" top="0.75" bottom="0.75" header="0.3" footer="0.3"/>
  <pageSetup paperSize="9" scale="7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Пургина Д.Д.</vt:lpstr>
      <vt:lpstr>Панов И.С.</vt:lpstr>
      <vt:lpstr>Хайдаров Р.Р.</vt:lpstr>
      <vt:lpstr>Краев Р.А.</vt:lpstr>
      <vt:lpstr>Шаблон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2026-03-30T07:33:31Z</dcterms:modified>
</cp:coreProperties>
</file>