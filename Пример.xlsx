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name="Пургина Д.Д." sheetId="1" state="visible" r:id="rId1"/>
    <sheet name="Шаблон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,###"/>
  </numFmts>
  <fonts count="1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ahoma"/>
      <charset val="204"/>
      <family val="2"/>
      <sz val="8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9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0070C0"/>
      <sz val="11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ADB9CA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textRotation="90" wrapText="1"/>
    </xf>
    <xf numFmtId="0" fontId="5" fillId="0" borderId="3" applyAlignment="1" pivotButton="0" quotePrefix="0" xfId="0">
      <alignment horizontal="center" vertical="center" textRotation="90" wrapText="1"/>
    </xf>
    <xf numFmtId="0" fontId="6" fillId="2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1" fontId="6" fillId="2" borderId="3" applyAlignment="1" pivotButton="0" quotePrefix="0" xfId="0">
      <alignment horizontal="center" vertical="center"/>
    </xf>
    <xf numFmtId="0" fontId="8" fillId="2" borderId="3" applyAlignment="1" pivotButton="0" quotePrefix="0" xfId="1">
      <alignment horizontal="right"/>
    </xf>
    <xf numFmtId="0" fontId="8" fillId="2" borderId="3" applyAlignment="1" pivotButton="0" quotePrefix="0" xfId="0">
      <alignment horizontal="right"/>
    </xf>
    <xf numFmtId="0" fontId="9" fillId="2" borderId="3" applyAlignment="1" pivotButton="0" quotePrefix="0" xfId="0">
      <alignment horizontal="left" vertical="center" wrapText="1"/>
    </xf>
    <xf numFmtId="0" fontId="8" fillId="2" borderId="3" applyAlignment="1" pivotButton="0" quotePrefix="0" xfId="1">
      <alignment horizontal="right" wrapText="1"/>
    </xf>
    <xf numFmtId="0" fontId="6" fillId="3" borderId="3" applyAlignment="1" pivotButton="0" quotePrefix="0" xfId="0">
      <alignment horizontal="center" vertical="center"/>
    </xf>
    <xf numFmtId="1" fontId="9" fillId="2" borderId="3" applyAlignment="1" pivotButton="0" quotePrefix="0" xfId="0">
      <alignment horizontal="center" vertical="center" wrapText="1"/>
    </xf>
    <xf numFmtId="1" fontId="9" fillId="2" borderId="3" applyAlignment="1" pivotButton="0" quotePrefix="0" xfId="0">
      <alignment horizontal="left" vertical="center" wrapText="1"/>
    </xf>
    <xf numFmtId="0" fontId="6" fillId="2" borderId="3" pivotButton="0" quotePrefix="0" xfId="0"/>
    <xf numFmtId="0" fontId="6" fillId="2" borderId="3" pivotButton="0" quotePrefix="0" xfId="0"/>
    <xf numFmtId="0" fontId="8" fillId="2" borderId="3" applyAlignment="1" pivotButton="0" quotePrefix="0" xfId="1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2" borderId="3" applyAlignment="1" pivotButton="0" quotePrefix="0" xfId="1">
      <alignment horizontal="center" vertical="center" wrapText="1"/>
    </xf>
    <xf numFmtId="164" fontId="6" fillId="2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/>
    </xf>
    <xf numFmtId="0" fontId="11" fillId="0" borderId="4" applyAlignment="1" pivotButton="0" quotePrefix="0" xfId="0">
      <alignment vertical="top"/>
    </xf>
    <xf numFmtId="1" fontId="12" fillId="0" borderId="3" applyAlignment="1" pivotButton="0" quotePrefix="0" xfId="0">
      <alignment vertical="top"/>
    </xf>
    <xf numFmtId="0" fontId="13" fillId="0" borderId="3" applyAlignment="1" pivotButton="0" quotePrefix="0" xfId="0">
      <alignment horizontal="center" vertical="center" wrapText="1"/>
    </xf>
    <xf numFmtId="1" fontId="14" fillId="0" borderId="3" applyAlignment="1" pivotButton="0" quotePrefix="0" xfId="0">
      <alignment horizontal="center" vertical="top"/>
    </xf>
    <xf numFmtId="0" fontId="11" fillId="0" borderId="3" pivotButton="0" quotePrefix="0" xfId="0"/>
    <xf numFmtId="1" fontId="15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1" fontId="13" fillId="0" borderId="3" applyAlignment="1" pivotButton="0" quotePrefix="0" xfId="0">
      <alignment horizontal="center" vertical="center" wrapText="1"/>
    </xf>
    <xf numFmtId="1" fontId="11" fillId="0" borderId="3" applyAlignment="1" pivotButton="0" quotePrefix="0" xfId="0">
      <alignment vertical="top"/>
    </xf>
    <xf numFmtId="0" fontId="13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1" fontId="13" fillId="0" borderId="3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2" fillId="0" borderId="0" pivotButton="0" quotePrefix="0" xfId="0"/>
    <xf numFmtId="1" fontId="11" fillId="0" borderId="0" pivotButton="0" quotePrefix="0" xfId="0"/>
    <xf numFmtId="0" fontId="0" fillId="0" borderId="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6" pivotButton="0" quotePrefix="0" xfId="0"/>
  </cellXfs>
  <cellStyles count="2">
    <cellStyle name="Обычный" xfId="0" builtinId="0"/>
    <cellStyle name="Обычный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A32" sqref="AA32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Пургина Дарья Дмитриевна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Информационные технологии</t>
        </is>
      </c>
      <c r="B8" s="10" t="inlineStr">
        <is>
          <t>23/ИП-291к</t>
        </is>
      </c>
      <c r="C8" s="11" t="n">
        <v>123</v>
      </c>
      <c r="D8" s="12" t="n"/>
      <c r="E8" s="13" t="n"/>
      <c r="F8" s="13" t="n"/>
      <c r="G8" s="14" t="n"/>
      <c r="H8" s="15" t="n"/>
      <c r="I8" s="16" t="n"/>
      <c r="J8" s="13" t="n"/>
      <c r="K8" s="11" t="n">
        <v>123</v>
      </c>
      <c r="L8" s="17" t="n">
        <v>71</v>
      </c>
      <c r="M8" s="18" t="n"/>
      <c r="N8" s="17" t="n">
        <v>50</v>
      </c>
      <c r="O8" s="19" t="n"/>
      <c r="P8" s="21" t="n">
        <v>20</v>
      </c>
      <c r="Q8" s="21" t="n">
        <v>22</v>
      </c>
      <c r="R8" s="21" t="n">
        <v>22</v>
      </c>
      <c r="S8" s="21" t="n">
        <v>14</v>
      </c>
      <c r="T8" s="18">
        <f>SUM(P8:S8)</f>
        <v/>
      </c>
      <c r="U8" s="10" t="n">
        <v>8</v>
      </c>
      <c r="V8" s="10" t="n">
        <v>12</v>
      </c>
      <c r="W8" s="10" t="n">
        <v>10</v>
      </c>
      <c r="X8" s="10" t="n">
        <v>8</v>
      </c>
      <c r="Y8" s="10" t="n">
        <v>7</v>
      </c>
      <c r="Z8" s="10" t="n"/>
      <c r="AA8" s="18">
        <f>SUM(U8:Z8)</f>
        <v/>
      </c>
      <c r="AB8" s="12">
        <f>T8+AA8</f>
        <v/>
      </c>
    </row>
    <row r="9" ht="21" customHeight="1">
      <c r="A9" s="9" t="inlineStr">
        <is>
          <t>Стандартизация, сертификация и техническое документирование</t>
        </is>
      </c>
      <c r="B9" s="10" t="inlineStr">
        <is>
          <t>22/ИП-391к</t>
        </is>
      </c>
      <c r="C9" s="11" t="n">
        <v>50</v>
      </c>
      <c r="D9" s="12" t="n"/>
      <c r="E9" s="13" t="n"/>
      <c r="F9" s="13" t="n"/>
      <c r="G9" s="14" t="n"/>
      <c r="H9" s="15" t="n"/>
      <c r="I9" s="16" t="n"/>
      <c r="J9" s="13" t="n"/>
      <c r="K9" s="11" t="n">
        <v>50</v>
      </c>
      <c r="L9" s="17" t="n"/>
      <c r="M9" s="18" t="n"/>
      <c r="N9" s="17" t="n">
        <v>48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8</v>
      </c>
      <c r="W9" s="10" t="n">
        <v>10</v>
      </c>
      <c r="X9" s="10" t="n">
        <v>8</v>
      </c>
      <c r="Y9" s="10" t="n">
        <v>12</v>
      </c>
      <c r="Z9" s="10" t="n">
        <v>4</v>
      </c>
      <c r="AA9" s="18">
        <f>SUM(U9:Z9)</f>
        <v/>
      </c>
      <c r="AB9" s="12">
        <f>T9+AA9</f>
        <v/>
      </c>
    </row>
    <row r="10">
      <c r="A10" s="9" t="inlineStr">
        <is>
          <t>Информационные технологии</t>
        </is>
      </c>
      <c r="B10" s="10" t="inlineStr">
        <is>
          <t>23/ИС-292к</t>
        </is>
      </c>
      <c r="C10" s="11" t="n">
        <v>123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123</v>
      </c>
      <c r="L10" s="17" t="n">
        <v>71</v>
      </c>
      <c r="M10" s="18" t="n"/>
      <c r="N10" s="17" t="n">
        <v>50</v>
      </c>
      <c r="O10" s="19" t="n"/>
      <c r="P10" s="21" t="n">
        <v>24</v>
      </c>
      <c r="Q10" s="21" t="n">
        <v>20</v>
      </c>
      <c r="R10" s="21" t="n">
        <v>18</v>
      </c>
      <c r="S10" s="21" t="n">
        <v>16</v>
      </c>
      <c r="T10" s="18">
        <f>SUM(P10:S10)</f>
        <v/>
      </c>
      <c r="U10" s="10" t="n">
        <v>6</v>
      </c>
      <c r="V10" s="10" t="n">
        <v>12</v>
      </c>
      <c r="W10" s="10" t="n">
        <v>6</v>
      </c>
      <c r="X10" s="10" t="n">
        <v>12</v>
      </c>
      <c r="Y10" s="10" t="n">
        <v>9</v>
      </c>
      <c r="Z10" s="10" t="n"/>
      <c r="AA10" s="18">
        <f>SUM(U10:Z10)</f>
        <v/>
      </c>
      <c r="AB10" s="12">
        <f>T10+AA10</f>
        <v/>
      </c>
    </row>
    <row r="11" ht="21" customHeight="1">
      <c r="A11" s="9" t="inlineStr">
        <is>
          <t>Стандартизация, сертификация и техническое документирование</t>
        </is>
      </c>
      <c r="B11" s="10" t="inlineStr">
        <is>
          <t>22/ИС-391к</t>
        </is>
      </c>
      <c r="C11" s="11" t="n">
        <v>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50</v>
      </c>
      <c r="L11" s="17" t="n"/>
      <c r="M11" s="18" t="n"/>
      <c r="N11" s="17" t="n">
        <v>48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10</v>
      </c>
      <c r="W11" s="10" t="n">
        <v>8</v>
      </c>
      <c r="X11" s="10" t="n">
        <v>10</v>
      </c>
      <c r="Y11" s="10" t="n">
        <v>10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23/ТО-291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/>
      <c r="M12" s="18" t="n"/>
      <c r="N12" s="17" t="n">
        <v>80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12</v>
      </c>
      <c r="V12" s="10" t="n">
        <v>16</v>
      </c>
      <c r="W12" s="10" t="n">
        <v>12</v>
      </c>
      <c r="X12" s="10" t="n">
        <v>16</v>
      </c>
      <c r="Y12" s="10" t="n">
        <v>18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Информатика</t>
        </is>
      </c>
      <c r="B13" s="10" t="inlineStr">
        <is>
          <t>24/ТО-1111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/>
      <c r="M13" s="18" t="n"/>
      <c r="N13" s="17" t="n">
        <v>80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12</v>
      </c>
      <c r="V13" s="10" t="n">
        <v>16</v>
      </c>
      <c r="W13" s="10" t="n">
        <v>14</v>
      </c>
      <c r="X13" s="10" t="n">
        <v>12</v>
      </c>
      <c r="Y13" s="10" t="n">
        <v>20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Информатика</t>
        </is>
      </c>
      <c r="B14" s="10" t="inlineStr">
        <is>
          <t>23/АТ-291</t>
        </is>
      </c>
      <c r="C14" s="11" t="n">
        <v>64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64</v>
      </c>
      <c r="L14" s="17" t="n">
        <v>50</v>
      </c>
      <c r="M14" s="18" t="n"/>
      <c r="N14" s="17" t="n">
        <v>12</v>
      </c>
      <c r="O14" s="19" t="n"/>
      <c r="P14" s="21" t="n">
        <v>14</v>
      </c>
      <c r="Q14" s="21" t="n">
        <v>16</v>
      </c>
      <c r="R14" s="21" t="n">
        <v>12</v>
      </c>
      <c r="S14" s="21" t="n">
        <v>10</v>
      </c>
      <c r="T14" s="18">
        <f>SUM(P14:S14)</f>
        <v/>
      </c>
      <c r="U14" s="10" t="n">
        <v>6</v>
      </c>
      <c r="V14" s="10" t="n">
        <v>6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Информатика</t>
        </is>
      </c>
      <c r="B15" s="10" t="inlineStr">
        <is>
          <t>24/АТ-1111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82</v>
      </c>
      <c r="M15" s="18" t="n"/>
      <c r="N15" s="17" t="n"/>
      <c r="O15" s="19" t="n"/>
      <c r="P15" s="21" t="n">
        <v>24</v>
      </c>
      <c r="Q15" s="21" t="n">
        <v>20</v>
      </c>
      <c r="R15" s="21" t="n">
        <v>22</v>
      </c>
      <c r="S15" s="21" t="n">
        <v>16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 ht="31.5" customHeight="1">
      <c r="A16" s="9" t="inlineStr">
        <is>
          <t>Подготовка выпускной квалификационной работы (НОРМОКОНТРОЛЬ)</t>
        </is>
      </c>
      <c r="B16" s="10" t="inlineStr">
        <is>
          <t>21/АТ-491в</t>
        </is>
      </c>
      <c r="C16" s="11" t="n">
        <v>22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22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 ht="31.5" customHeight="1">
      <c r="A17" s="9" t="inlineStr">
        <is>
          <t>Подготовка выпускной квалификационной работы (НОРМОКОНТРОЛЬ)</t>
        </is>
      </c>
      <c r="B17" s="10" t="inlineStr">
        <is>
          <t>22/АТ-3111в</t>
        </is>
      </c>
      <c r="C17" s="11" t="n">
        <v>17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17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 ht="21" customHeight="1">
      <c r="A18" s="9" t="inlineStr">
        <is>
          <t>Информационные технологии в профессиональной деятельности</t>
        </is>
      </c>
      <c r="B18" s="10" t="inlineStr">
        <is>
          <t>23/КМ-291к</t>
        </is>
      </c>
      <c r="C18" s="11" t="n">
        <v>94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94</v>
      </c>
      <c r="L18" s="17" t="n">
        <v>48</v>
      </c>
      <c r="M18" s="18" t="n"/>
      <c r="N18" s="17" t="n">
        <v>44</v>
      </c>
      <c r="O18" s="19" t="n"/>
      <c r="P18" s="21" t="n">
        <v>18</v>
      </c>
      <c r="Q18" s="21" t="n">
        <v>20</v>
      </c>
      <c r="R18" s="21" t="n">
        <v>18</v>
      </c>
      <c r="S18" s="21" t="n">
        <v>6</v>
      </c>
      <c r="T18" s="18">
        <f>SUM(P18:S18)</f>
        <v/>
      </c>
      <c r="U18" s="10" t="n">
        <v>6</v>
      </c>
      <c r="V18" s="10" t="n">
        <v>10</v>
      </c>
      <c r="W18" s="10" t="n">
        <v>12</v>
      </c>
      <c r="X18" s="10" t="n">
        <v>4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Информатика</t>
        </is>
      </c>
      <c r="B19" s="10" t="inlineStr">
        <is>
          <t>23/ЭО-291</t>
        </is>
      </c>
      <c r="C19" s="11" t="n">
        <v>87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87</v>
      </c>
      <c r="L19" s="17" t="n">
        <v>51</v>
      </c>
      <c r="M19" s="18" t="n"/>
      <c r="N19" s="17" t="n">
        <v>36</v>
      </c>
      <c r="O19" s="19" t="n"/>
      <c r="P19" s="21" t="n">
        <v>16</v>
      </c>
      <c r="Q19" s="21" t="n">
        <v>14</v>
      </c>
      <c r="R19" s="21" t="n">
        <v>8</v>
      </c>
      <c r="S19" s="21" t="n">
        <v>12</v>
      </c>
      <c r="T19" s="18">
        <f>SUM(P19:S19)</f>
        <v/>
      </c>
      <c r="U19" s="10" t="n">
        <v>6</v>
      </c>
      <c r="V19" s="10" t="n">
        <v>8</v>
      </c>
      <c r="W19" s="10" t="n">
        <v>8</v>
      </c>
      <c r="X19" s="10" t="n">
        <v>15</v>
      </c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Информатика</t>
        </is>
      </c>
      <c r="B20" s="25" t="inlineStr">
        <is>
          <t>23/п ЭО-292</t>
        </is>
      </c>
      <c r="C20" s="11" t="n">
        <v>68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68</v>
      </c>
      <c r="L20" s="17" t="n">
        <v>68</v>
      </c>
      <c r="M20" s="18" t="n"/>
      <c r="N20" s="17" t="n"/>
      <c r="O20" s="19" t="n"/>
      <c r="P20" s="21" t="n">
        <v>18</v>
      </c>
      <c r="Q20" s="21" t="n">
        <v>20</v>
      </c>
      <c r="R20" s="21" t="n">
        <v>16</v>
      </c>
      <c r="S20" s="21" t="n">
        <v>14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Информатика</t>
        </is>
      </c>
      <c r="B21" s="25" t="inlineStr">
        <is>
          <t>23/п ОМД-291</t>
        </is>
      </c>
      <c r="C21" s="11" t="n">
        <v>76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76</v>
      </c>
      <c r="L21" s="17" t="n">
        <v>32</v>
      </c>
      <c r="M21" s="18" t="n"/>
      <c r="N21" s="17" t="n">
        <v>42</v>
      </c>
      <c r="O21" s="19" t="n"/>
      <c r="P21" s="21" t="n">
        <v>8</v>
      </c>
      <c r="Q21" s="21" t="n">
        <v>10</v>
      </c>
      <c r="R21" s="21" t="n">
        <v>8</v>
      </c>
      <c r="S21" s="21" t="n">
        <v>6</v>
      </c>
      <c r="T21" s="18">
        <f>SUM(P21:S21)</f>
        <v/>
      </c>
      <c r="U21" s="10" t="n">
        <v>6</v>
      </c>
      <c r="V21" s="10" t="n">
        <v>8</v>
      </c>
      <c r="W21" s="10" t="n">
        <v>8</v>
      </c>
      <c r="X21" s="10" t="n">
        <v>8</v>
      </c>
      <c r="Y21" s="10" t="n">
        <v>14</v>
      </c>
      <c r="Z21" s="10" t="n"/>
      <c r="AA21" s="18">
        <f>SUM(U21:Z21)</f>
        <v/>
      </c>
      <c r="AB21" s="12">
        <f>T21+AA21</f>
        <v/>
      </c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440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440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440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576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576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576</v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inlineStr">
        <is>
          <t>Д.Д. Пургина</t>
        </is>
      </c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"/>
  <sheetViews>
    <sheetView tabSelected="1" workbookViewId="0">
      <selection activeCell="S30" sqref="S30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  в  20 - 20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n"/>
      <c r="B8" s="10" t="n"/>
      <c r="C8" s="11" t="n"/>
      <c r="D8" s="12" t="n"/>
      <c r="E8" s="13" t="n"/>
      <c r="F8" s="13" t="n"/>
      <c r="G8" s="14" t="n"/>
      <c r="H8" s="15" t="n"/>
      <c r="I8" s="16" t="n"/>
      <c r="J8" s="13" t="n"/>
      <c r="K8" s="11" t="n"/>
      <c r="L8" s="17" t="n"/>
      <c r="M8" s="18" t="n"/>
      <c r="N8" s="17" t="n"/>
      <c r="O8" s="19" t="n"/>
      <c r="P8" s="21" t="n"/>
      <c r="Q8" s="21" t="n"/>
      <c r="R8" s="21" t="n"/>
      <c r="S8" s="21" t="n"/>
      <c r="T8" s="18" t="n"/>
      <c r="U8" s="10" t="n"/>
      <c r="V8" s="10" t="n"/>
      <c r="W8" s="10" t="n"/>
      <c r="X8" s="10" t="n"/>
      <c r="Y8" s="10" t="n"/>
      <c r="Z8" s="10" t="n"/>
      <c r="AA8" s="18" t="n"/>
      <c r="AB8" s="12" t="n"/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>
        <f>C8+C9+C10+C11+C18</f>
        <v/>
      </c>
      <c r="D22" s="39" t="n"/>
      <c r="E22" s="39" t="n"/>
      <c r="F22" s="39" t="n"/>
      <c r="G22" s="39" t="n"/>
      <c r="H22" s="39" t="n"/>
      <c r="I22" s="39" t="n"/>
      <c r="J22" s="39" t="n"/>
      <c r="K22" s="30">
        <f>K8+K9+K10+K11+K18</f>
        <v/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>
        <f>AB8+AB9+AB10+AB11+AB18</f>
        <v/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>
        <f>C24-C22</f>
        <v/>
      </c>
      <c r="D23" s="39" t="n"/>
      <c r="E23" s="39" t="n"/>
      <c r="F23" s="39" t="n"/>
      <c r="G23" s="39" t="n"/>
      <c r="H23" s="39" t="n"/>
      <c r="I23" s="39" t="n"/>
      <c r="J23" s="39" t="n"/>
      <c r="K23" s="37">
        <f>K24-K22</f>
        <v/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>
        <f>AB24-AB22</f>
        <v/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2026-05-15T10:02:01Z</dcterms:modified>
</cp:coreProperties>
</file>